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Employee Directory" sheetId="1" r:id="rId1"/>
    <sheet name="Department Summary" sheetId="2" r:id="rId2"/>
    <sheet name="Legend &amp;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<sst xmlns="http://schemas.openxmlformats.org/spreadsheetml/2006/main" count="250" uniqueCount="178">
  <si>
    <t xml:space="preserve">  EMPLOYEE RECORDS — HUMAN RESOURCES</t>
  </si>
  <si>
    <t>Last Updated: March 17, 2026    |    Confidential — HR Use Only</t>
  </si>
  <si>
    <t>Emp ID</t>
  </si>
  <si>
    <t>Full Name</t>
  </si>
  <si>
    <t>Department</t>
  </si>
  <si>
    <t>Job Title</t>
  </si>
  <si>
    <t>Email</t>
  </si>
  <si>
    <t>Phone</t>
  </si>
  <si>
    <t>Location</t>
  </si>
  <si>
    <t>Start Date</t>
  </si>
  <si>
    <t>Employment Type</t>
  </si>
  <si>
    <t>Status</t>
  </si>
  <si>
    <t>Years of Service</t>
  </si>
  <si>
    <t>EMP-001</t>
  </si>
  <si>
    <t>Alexandra Chen</t>
  </si>
  <si>
    <t>Engineering</t>
  </si>
  <si>
    <t>Senior Software Engineer</t>
  </si>
  <si>
    <t>a.chen@company.com</t>
  </si>
  <si>
    <t>(555) 201-1001</t>
  </si>
  <si>
    <t>New York</t>
  </si>
  <si>
    <t>2019-03-15</t>
  </si>
  <si>
    <t>Full-Time</t>
  </si>
  <si>
    <t>Active</t>
  </si>
  <si>
    <t>EMP-002</t>
  </si>
  <si>
    <t>Marcus Johnson</t>
  </si>
  <si>
    <t>Marketing</t>
  </si>
  <si>
    <t>Marketing Manager</t>
  </si>
  <si>
    <t>m.johnson@company.com</t>
  </si>
  <si>
    <t>(555) 201-1002</t>
  </si>
  <si>
    <t>Chicago</t>
  </si>
  <si>
    <t>2020-07-01</t>
  </si>
  <si>
    <t>EMP-003</t>
  </si>
  <si>
    <t>Sofia Ramirez</t>
  </si>
  <si>
    <t>Human Resources</t>
  </si>
  <si>
    <t>HR Generalist</t>
  </si>
  <si>
    <t>s.ramirez@company.com</t>
  </si>
  <si>
    <t>(555) 201-1003</t>
  </si>
  <si>
    <t>Los Angeles</t>
  </si>
  <si>
    <t>2021-01-20</t>
  </si>
  <si>
    <t>EMP-004</t>
  </si>
  <si>
    <t>David Park</t>
  </si>
  <si>
    <t>Finance</t>
  </si>
  <si>
    <t>Financial Analyst</t>
  </si>
  <si>
    <t>d.park@company.com</t>
  </si>
  <si>
    <t>(555) 201-1004</t>
  </si>
  <si>
    <t>2018-05-10</t>
  </si>
  <si>
    <t>EMP-005</t>
  </si>
  <si>
    <t>Priya Patel</t>
  </si>
  <si>
    <t>DevOps Engineer</t>
  </si>
  <si>
    <t>p.patel@company.com</t>
  </si>
  <si>
    <t>(555) 201-1005</t>
  </si>
  <si>
    <t>Remote</t>
  </si>
  <si>
    <t>2022-03-01</t>
  </si>
  <si>
    <t>EMP-006</t>
  </si>
  <si>
    <t>James O'Brien</t>
  </si>
  <si>
    <t>Sales</t>
  </si>
  <si>
    <t>Account Executive</t>
  </si>
  <si>
    <t>j.obrien@company.com</t>
  </si>
  <si>
    <t>(555) 201-1006</t>
  </si>
  <si>
    <t>Boston</t>
  </si>
  <si>
    <t>2017-09-12</t>
  </si>
  <si>
    <t>Inactive</t>
  </si>
  <si>
    <t>EMP-007</t>
  </si>
  <si>
    <t>Mei Lin</t>
  </si>
  <si>
    <t>Frontend Developer</t>
  </si>
  <si>
    <t>m.lin@company.com</t>
  </si>
  <si>
    <t>(555) 201-1007</t>
  </si>
  <si>
    <t>San Francisco</t>
  </si>
  <si>
    <t>2023-06-15</t>
  </si>
  <si>
    <t>EMP-008</t>
  </si>
  <si>
    <t>Carlos Vega</t>
  </si>
  <si>
    <t>Operations</t>
  </si>
  <si>
    <t>Operations Coordinator</t>
  </si>
  <si>
    <t>c.vega@company.com</t>
  </si>
  <si>
    <t>(555) 201-1008</t>
  </si>
  <si>
    <t>Miami</t>
  </si>
  <si>
    <t>2020-11-03</t>
  </si>
  <si>
    <t>Part-Time</t>
  </si>
  <si>
    <t>EMP-009</t>
  </si>
  <si>
    <t>Rachel Thompson</t>
  </si>
  <si>
    <t>Content Strategist</t>
  </si>
  <si>
    <t>r.thompson@company.com</t>
  </si>
  <si>
    <t>(555) 201-1009</t>
  </si>
  <si>
    <t>2021-08-22</t>
  </si>
  <si>
    <t>On Leave</t>
  </si>
  <si>
    <t>EMP-010</t>
  </si>
  <si>
    <t>Kevin Wu</t>
  </si>
  <si>
    <t>Senior Accountant</t>
  </si>
  <si>
    <t>k.wu@company.com</t>
  </si>
  <si>
    <t>(555) 201-1010</t>
  </si>
  <si>
    <t>2016-02-14</t>
  </si>
  <si>
    <t>EMP-011</t>
  </si>
  <si>
    <t>Amara Osei</t>
  </si>
  <si>
    <t>Legal</t>
  </si>
  <si>
    <t>Legal Counsel</t>
  </si>
  <si>
    <t>a.osei@company.com</t>
  </si>
  <si>
    <t>(555) 201-1011</t>
  </si>
  <si>
    <t>Washington DC</t>
  </si>
  <si>
    <t>2019-10-07</t>
  </si>
  <si>
    <t>EMP-012</t>
  </si>
  <si>
    <t>Tom Erikson</t>
  </si>
  <si>
    <t>Sales Director</t>
  </si>
  <si>
    <t>t.erikson@company.com</t>
  </si>
  <si>
    <t>(555) 201-1012</t>
  </si>
  <si>
    <t>2015-04-20</t>
  </si>
  <si>
    <t>EMP-013</t>
  </si>
  <si>
    <t>Nina Kowalski</t>
  </si>
  <si>
    <t>QA Engineer</t>
  </si>
  <si>
    <t>n.kowalski@company.com</t>
  </si>
  <si>
    <t>(555) 201-1013</t>
  </si>
  <si>
    <t>2022-09-01</t>
  </si>
  <si>
    <t>Contract</t>
  </si>
  <si>
    <t>EMP-014</t>
  </si>
  <si>
    <t>Samuel Adeyemi</t>
  </si>
  <si>
    <t>Supply Chain Analyst</t>
  </si>
  <si>
    <t>s.adeyemi@company.com</t>
  </si>
  <si>
    <t>(555) 201-1014</t>
  </si>
  <si>
    <t>Houston</t>
  </si>
  <si>
    <t>2020-05-18</t>
  </si>
  <si>
    <t>EMP-015</t>
  </si>
  <si>
    <t>Isabelle Martin</t>
  </si>
  <si>
    <t>Talent Acquisition Lead</t>
  </si>
  <si>
    <t>i.martin@company.com</t>
  </si>
  <si>
    <t>(555) 201-1015</t>
  </si>
  <si>
    <t>2018-12-03</t>
  </si>
  <si>
    <t>EMP-016</t>
  </si>
  <si>
    <t>Ryan O'Connor</t>
  </si>
  <si>
    <t>Backend Engineer</t>
  </si>
  <si>
    <t>r.oconnor@company.com</t>
  </si>
  <si>
    <t>(555) 201-1016</t>
  </si>
  <si>
    <t>2023-01-09</t>
  </si>
  <si>
    <t>EMP-017</t>
  </si>
  <si>
    <t>Fatima Al-Rashid</t>
  </si>
  <si>
    <t>CFO</t>
  </si>
  <si>
    <t>f.alrashid@company.com</t>
  </si>
  <si>
    <t>(555) 201-1017</t>
  </si>
  <si>
    <t>2014-06-01</t>
  </si>
  <si>
    <t>EMP-018</t>
  </si>
  <si>
    <t>Jake Morrison</t>
  </si>
  <si>
    <t>SEO Specialist</t>
  </si>
  <si>
    <t>j.morrison@company.com</t>
  </si>
  <si>
    <t>(555) 201-1018</t>
  </si>
  <si>
    <t>2022-11-14</t>
  </si>
  <si>
    <t>EMP-019</t>
  </si>
  <si>
    <t>Ling Zhao</t>
  </si>
  <si>
    <t>Machine Learning Engineer</t>
  </si>
  <si>
    <t>l.zhao@company.com</t>
  </si>
  <si>
    <t>(555) 201-1019</t>
  </si>
  <si>
    <t>2021-04-05</t>
  </si>
  <si>
    <t>EMP-020</t>
  </si>
  <si>
    <t>Grace Okafor</t>
  </si>
  <si>
    <t>Regional Sales Manager</t>
  </si>
  <si>
    <t>g.okafor@company.com</t>
  </si>
  <si>
    <t>(555) 201-1020</t>
  </si>
  <si>
    <t>Atlanta</t>
  </si>
  <si>
    <t>2017-07-30</t>
  </si>
  <si>
    <t>Department Headcount &amp; Status Summary</t>
  </si>
  <si>
    <t>Total Employees</t>
  </si>
  <si>
    <t>Part-Time / Contract</t>
  </si>
  <si>
    <t>TOTAL</t>
  </si>
  <si>
    <t>Legend &amp; User Guide</t>
  </si>
  <si>
    <t>STATUS COLOURS</t>
  </si>
  <si>
    <t/>
  </si>
  <si>
    <t>🟢  Active</t>
  </si>
  <si>
    <t>Employee is currently working</t>
  </si>
  <si>
    <t>🔴  Inactive</t>
  </si>
  <si>
    <t>Employee has left the organisation</t>
  </si>
  <si>
    <t>🟡  On Leave</t>
  </si>
  <si>
    <t>Employee is on approved leave</t>
  </si>
  <si>
    <t>TIPS</t>
  </si>
  <si>
    <t>Sort / Filter</t>
  </si>
  <si>
    <t>Click any header arrow in 'Employee Directory'</t>
  </si>
  <si>
    <t>Search</t>
  </si>
  <si>
    <t>Use Ctrl+F to find any record</t>
  </si>
  <si>
    <t>Add Employees</t>
  </si>
  <si>
    <t>Append rows below row 23; table expands automatically</t>
  </si>
  <si>
    <t>Refresh Totals</t>
  </si>
  <si>
    <t>Summary sheet updates automatically via formulas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</si>
</sst>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&quot; yrs&quot;"/>
  </numFmts>
  <fonts count="29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color rgb="FF222222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b/>
      <sz val="16"/>
      <color rgb="FFFFFFFF"/>
      <name val="Arial"/>
      <charset val="134"/>
    </font>
    <font>
      <i/>
      <sz val="10"/>
      <color rgb="FF555555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b val="1"/>
        <sz val="10"/>
        <color rgb="FF276221"/>
      </font>
      <fill>
        <patternFill patternType="solid">
          <fgColor rgb="FFD6F5D6"/>
        </patternFill>
      </fill>
    </dxf>
    <dxf>
      <font>
        <name val="Arial"/>
        <scheme val="none"/>
        <b val="1"/>
        <sz val="10"/>
        <color rgb="FF9C1C1C"/>
      </font>
      <fill>
        <patternFill patternType="solid">
          <fgColor rgb="FFFFE5E5"/>
        </patternFill>
      </fill>
    </dxf>
    <dxf>
      <font>
        <name val="Arial"/>
        <scheme val="none"/>
        <b val="1"/>
        <sz val="10"/>
        <color rgb="FF7D5A00"/>
      </font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ployeeTable" displayName="EmployeeTable" ref="A3:K23">
  <autoFilter xmlns:etc="http://www.wps.cn/officeDocument/2017/etCustomData" ref="A3:K23" etc:filterBottomFollowUsedRange="0"/>
  <tableColumns count="11">
    <tableColumn id="1" name="Emp ID"/>
    <tableColumn id="2" name="Full Name"/>
    <tableColumn id="3" name="Department"/>
    <tableColumn id="4" name="Job Title"/>
    <tableColumn id="5" name="Email"/>
    <tableColumn id="6" name="Phone"/>
    <tableColumn id="7" name="Location"/>
    <tableColumn id="8" name="Start Date"/>
    <tableColumn id="9" name="Employment Type"/>
    <tableColumn id="10" name="Status"/>
    <tableColumn id="11" name="Years of Serv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ySplit="3" topLeftCell="A7" activePane="bottomLeft" state="frozen"/>
      <selection/>
      <selection pane="bottomLeft" activeCell="A1" sqref="A1:K1"/>
    </sheetView>
  </sheetViews>
  <sheetFormatPr defaultColWidth="9" defaultRowHeight="15"/>
  <cols>
    <col min="1" max="1" width="10" customWidth="1"/>
    <col min="2" max="2" width="22" customWidth="1"/>
    <col min="3" max="3" width="18" customWidth="1"/>
    <col min="4" max="4" width="22" customWidth="1"/>
    <col min="5" max="5" width="28" customWidth="1"/>
    <col min="6" max="6" width="16" customWidth="1"/>
    <col min="7" max="7" width="14" customWidth="1"/>
    <col min="8" max="8" width="13" customWidth="1"/>
    <col min="9" max="9" width="17" customWidth="1"/>
    <col min="10" max="10" width="12" customWidth="1"/>
    <col min="11" max="11" width="16" customWidth="1"/>
  </cols>
  <sheetData>
    <row r="1" ht="36" customHeight="1" spans="1:11">
      <c r="A1" s="12" t="s">
        <v>0</v>
      </c>
    </row>
    <row r="2" ht="20" customHeight="1" spans="1:11">
      <c r="A2" s="13" t="s">
        <v>1</v>
      </c>
    </row>
    <row r="3" ht="32" customHeight="1" spans="1:1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ht="22" customHeight="1" spans="1:11">
      <c r="A4" s="8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8" t="s">
        <v>20</v>
      </c>
      <c r="I4" s="8" t="s">
        <v>21</v>
      </c>
      <c r="J4" s="8" t="s">
        <v>22</v>
      </c>
      <c r="K4" s="15">
        <f ca="1" t="shared" ref="K4:K23" si="0">ROUND((TODAY()-DATEVALUE(H4))/365.25,1)</f>
        <v>7</v>
      </c>
    </row>
    <row r="5" ht="22" customHeight="1" spans="1:11">
      <c r="A5" s="9" t="s">
        <v>23</v>
      </c>
      <c r="B5" s="16" t="s">
        <v>24</v>
      </c>
      <c r="C5" s="16" t="s">
        <v>25</v>
      </c>
      <c r="D5" s="16" t="s">
        <v>26</v>
      </c>
      <c r="E5" s="16" t="s">
        <v>27</v>
      </c>
      <c r="F5" s="16" t="s">
        <v>28</v>
      </c>
      <c r="G5" s="16" t="s">
        <v>29</v>
      </c>
      <c r="H5" s="9" t="s">
        <v>30</v>
      </c>
      <c r="I5" s="9" t="s">
        <v>21</v>
      </c>
      <c r="J5" s="9" t="s">
        <v>22</v>
      </c>
      <c r="K5" s="15">
        <f ca="1" t="shared" si="0"/>
        <v>5.7</v>
      </c>
    </row>
    <row r="6" ht="22" customHeight="1" spans="1:11">
      <c r="A6" s="8" t="s">
        <v>31</v>
      </c>
      <c r="B6" s="14" t="s">
        <v>32</v>
      </c>
      <c r="C6" s="14" t="s">
        <v>33</v>
      </c>
      <c r="D6" s="14" t="s">
        <v>34</v>
      </c>
      <c r="E6" s="14" t="s">
        <v>35</v>
      </c>
      <c r="F6" s="14" t="s">
        <v>36</v>
      </c>
      <c r="G6" s="14" t="s">
        <v>37</v>
      </c>
      <c r="H6" s="8" t="s">
        <v>38</v>
      </c>
      <c r="I6" s="8" t="s">
        <v>21</v>
      </c>
      <c r="J6" s="8" t="s">
        <v>22</v>
      </c>
      <c r="K6" s="15">
        <f ca="1" t="shared" si="0"/>
        <v>5.2</v>
      </c>
    </row>
    <row r="7" ht="22" customHeight="1" spans="1:11">
      <c r="A7" s="9" t="s">
        <v>39</v>
      </c>
      <c r="B7" s="16" t="s">
        <v>40</v>
      </c>
      <c r="C7" s="16" t="s">
        <v>41</v>
      </c>
      <c r="D7" s="16" t="s">
        <v>42</v>
      </c>
      <c r="E7" s="16" t="s">
        <v>43</v>
      </c>
      <c r="F7" s="16" t="s">
        <v>44</v>
      </c>
      <c r="G7" s="16" t="s">
        <v>19</v>
      </c>
      <c r="H7" s="9" t="s">
        <v>45</v>
      </c>
      <c r="I7" s="9" t="s">
        <v>21</v>
      </c>
      <c r="J7" s="9" t="s">
        <v>22</v>
      </c>
      <c r="K7" s="15">
        <f ca="1" t="shared" si="0"/>
        <v>7.9</v>
      </c>
    </row>
    <row r="8" ht="22" customHeight="1" spans="1:11">
      <c r="A8" s="8" t="s">
        <v>46</v>
      </c>
      <c r="B8" s="14" t="s">
        <v>47</v>
      </c>
      <c r="C8" s="14" t="s">
        <v>15</v>
      </c>
      <c r="D8" s="14" t="s">
        <v>48</v>
      </c>
      <c r="E8" s="14" t="s">
        <v>49</v>
      </c>
      <c r="F8" s="14" t="s">
        <v>50</v>
      </c>
      <c r="G8" s="14" t="s">
        <v>51</v>
      </c>
      <c r="H8" s="8" t="s">
        <v>52</v>
      </c>
      <c r="I8" s="8" t="s">
        <v>21</v>
      </c>
      <c r="J8" s="8" t="s">
        <v>22</v>
      </c>
      <c r="K8" s="15">
        <f ca="1" t="shared" si="0"/>
        <v>4</v>
      </c>
    </row>
    <row r="9" ht="22" customHeight="1" spans="1:11">
      <c r="A9" s="9" t="s">
        <v>53</v>
      </c>
      <c r="B9" s="16" t="s">
        <v>54</v>
      </c>
      <c r="C9" s="16" t="s">
        <v>55</v>
      </c>
      <c r="D9" s="16" t="s">
        <v>56</v>
      </c>
      <c r="E9" s="16" t="s">
        <v>57</v>
      </c>
      <c r="F9" s="16" t="s">
        <v>58</v>
      </c>
      <c r="G9" s="16" t="s">
        <v>59</v>
      </c>
      <c r="H9" s="9" t="s">
        <v>60</v>
      </c>
      <c r="I9" s="9" t="s">
        <v>21</v>
      </c>
      <c r="J9" s="9" t="s">
        <v>61</v>
      </c>
      <c r="K9" s="15">
        <f ca="1" t="shared" si="0"/>
        <v>8.5</v>
      </c>
    </row>
    <row r="10" ht="22" customHeight="1" spans="1:11">
      <c r="A10" s="8" t="s">
        <v>62</v>
      </c>
      <c r="B10" s="14" t="s">
        <v>63</v>
      </c>
      <c r="C10" s="14" t="s">
        <v>15</v>
      </c>
      <c r="D10" s="14" t="s">
        <v>64</v>
      </c>
      <c r="E10" s="14" t="s">
        <v>65</v>
      </c>
      <c r="F10" s="14" t="s">
        <v>66</v>
      </c>
      <c r="G10" s="14" t="s">
        <v>67</v>
      </c>
      <c r="H10" s="8" t="s">
        <v>68</v>
      </c>
      <c r="I10" s="8" t="s">
        <v>21</v>
      </c>
      <c r="J10" s="8" t="s">
        <v>22</v>
      </c>
      <c r="K10" s="15">
        <f ca="1" t="shared" si="0"/>
        <v>2.8</v>
      </c>
    </row>
    <row r="11" ht="22" customHeight="1" spans="1:11">
      <c r="A11" s="9" t="s">
        <v>69</v>
      </c>
      <c r="B11" s="16" t="s">
        <v>70</v>
      </c>
      <c r="C11" s="16" t="s">
        <v>71</v>
      </c>
      <c r="D11" s="16" t="s">
        <v>72</v>
      </c>
      <c r="E11" s="16" t="s">
        <v>73</v>
      </c>
      <c r="F11" s="16" t="s">
        <v>74</v>
      </c>
      <c r="G11" s="16" t="s">
        <v>75</v>
      </c>
      <c r="H11" s="9" t="s">
        <v>76</v>
      </c>
      <c r="I11" s="9" t="s">
        <v>77</v>
      </c>
      <c r="J11" s="9" t="s">
        <v>22</v>
      </c>
      <c r="K11" s="15">
        <f ca="1" t="shared" si="0"/>
        <v>5.4</v>
      </c>
    </row>
    <row r="12" ht="22" customHeight="1" spans="1:11">
      <c r="A12" s="8" t="s">
        <v>78</v>
      </c>
      <c r="B12" s="14" t="s">
        <v>79</v>
      </c>
      <c r="C12" s="14" t="s">
        <v>25</v>
      </c>
      <c r="D12" s="14" t="s">
        <v>80</v>
      </c>
      <c r="E12" s="14" t="s">
        <v>81</v>
      </c>
      <c r="F12" s="14" t="s">
        <v>82</v>
      </c>
      <c r="G12" s="14" t="s">
        <v>29</v>
      </c>
      <c r="H12" s="8" t="s">
        <v>83</v>
      </c>
      <c r="I12" s="8" t="s">
        <v>21</v>
      </c>
      <c r="J12" s="8" t="s">
        <v>84</v>
      </c>
      <c r="K12" s="15">
        <f ca="1" t="shared" si="0"/>
        <v>4.6</v>
      </c>
    </row>
    <row r="13" ht="22" customHeight="1" spans="1:11">
      <c r="A13" s="9" t="s">
        <v>85</v>
      </c>
      <c r="B13" s="16" t="s">
        <v>86</v>
      </c>
      <c r="C13" s="16" t="s">
        <v>41</v>
      </c>
      <c r="D13" s="16" t="s">
        <v>87</v>
      </c>
      <c r="E13" s="16" t="s">
        <v>88</v>
      </c>
      <c r="F13" s="16" t="s">
        <v>89</v>
      </c>
      <c r="G13" s="16" t="s">
        <v>19</v>
      </c>
      <c r="H13" s="9" t="s">
        <v>90</v>
      </c>
      <c r="I13" s="9" t="s">
        <v>21</v>
      </c>
      <c r="J13" s="9" t="s">
        <v>22</v>
      </c>
      <c r="K13" s="15">
        <f ca="1" t="shared" si="0"/>
        <v>10.1</v>
      </c>
    </row>
    <row r="14" ht="22" customHeight="1" spans="1:11">
      <c r="A14" s="8" t="s">
        <v>91</v>
      </c>
      <c r="B14" s="14" t="s">
        <v>92</v>
      </c>
      <c r="C14" s="14" t="s">
        <v>93</v>
      </c>
      <c r="D14" s="14" t="s">
        <v>94</v>
      </c>
      <c r="E14" s="14" t="s">
        <v>95</v>
      </c>
      <c r="F14" s="14" t="s">
        <v>96</v>
      </c>
      <c r="G14" s="14" t="s">
        <v>97</v>
      </c>
      <c r="H14" s="8" t="s">
        <v>98</v>
      </c>
      <c r="I14" s="8" t="s">
        <v>21</v>
      </c>
      <c r="J14" s="8" t="s">
        <v>22</v>
      </c>
      <c r="K14" s="15">
        <f ca="1" t="shared" si="0"/>
        <v>6.4</v>
      </c>
    </row>
    <row r="15" ht="22" customHeight="1" spans="1:11">
      <c r="A15" s="9" t="s">
        <v>99</v>
      </c>
      <c r="B15" s="16" t="s">
        <v>100</v>
      </c>
      <c r="C15" s="16" t="s">
        <v>55</v>
      </c>
      <c r="D15" s="16" t="s">
        <v>101</v>
      </c>
      <c r="E15" s="16" t="s">
        <v>102</v>
      </c>
      <c r="F15" s="16" t="s">
        <v>103</v>
      </c>
      <c r="G15" s="16" t="s">
        <v>59</v>
      </c>
      <c r="H15" s="9" t="s">
        <v>104</v>
      </c>
      <c r="I15" s="9" t="s">
        <v>21</v>
      </c>
      <c r="J15" s="9" t="s">
        <v>22</v>
      </c>
      <c r="K15" s="15">
        <f ca="1" t="shared" si="0"/>
        <v>10.9</v>
      </c>
    </row>
    <row r="16" ht="22" customHeight="1" spans="1:11">
      <c r="A16" s="8" t="s">
        <v>105</v>
      </c>
      <c r="B16" s="14" t="s">
        <v>106</v>
      </c>
      <c r="C16" s="14" t="s">
        <v>15</v>
      </c>
      <c r="D16" s="14" t="s">
        <v>107</v>
      </c>
      <c r="E16" s="14" t="s">
        <v>108</v>
      </c>
      <c r="F16" s="14" t="s">
        <v>109</v>
      </c>
      <c r="G16" s="14" t="s">
        <v>51</v>
      </c>
      <c r="H16" s="8" t="s">
        <v>110</v>
      </c>
      <c r="I16" s="8" t="s">
        <v>111</v>
      </c>
      <c r="J16" s="8" t="s">
        <v>22</v>
      </c>
      <c r="K16" s="15">
        <f ca="1" t="shared" si="0"/>
        <v>3.5</v>
      </c>
    </row>
    <row r="17" ht="22" customHeight="1" spans="1:11">
      <c r="A17" s="9" t="s">
        <v>112</v>
      </c>
      <c r="B17" s="16" t="s">
        <v>113</v>
      </c>
      <c r="C17" s="16" t="s">
        <v>71</v>
      </c>
      <c r="D17" s="16" t="s">
        <v>114</v>
      </c>
      <c r="E17" s="16" t="s">
        <v>115</v>
      </c>
      <c r="F17" s="16" t="s">
        <v>116</v>
      </c>
      <c r="G17" s="16" t="s">
        <v>117</v>
      </c>
      <c r="H17" s="9" t="s">
        <v>118</v>
      </c>
      <c r="I17" s="9" t="s">
        <v>21</v>
      </c>
      <c r="J17" s="9" t="s">
        <v>22</v>
      </c>
      <c r="K17" s="15">
        <f ca="1" t="shared" si="0"/>
        <v>5.8</v>
      </c>
    </row>
    <row r="18" ht="22" customHeight="1" spans="1:11">
      <c r="A18" s="8" t="s">
        <v>119</v>
      </c>
      <c r="B18" s="14" t="s">
        <v>120</v>
      </c>
      <c r="C18" s="14" t="s">
        <v>33</v>
      </c>
      <c r="D18" s="14" t="s">
        <v>121</v>
      </c>
      <c r="E18" s="14" t="s">
        <v>122</v>
      </c>
      <c r="F18" s="14" t="s">
        <v>123</v>
      </c>
      <c r="G18" s="14" t="s">
        <v>37</v>
      </c>
      <c r="H18" s="8" t="s">
        <v>124</v>
      </c>
      <c r="I18" s="8" t="s">
        <v>21</v>
      </c>
      <c r="J18" s="8" t="s">
        <v>61</v>
      </c>
      <c r="K18" s="15">
        <f ca="1" t="shared" si="0"/>
        <v>7.3</v>
      </c>
    </row>
    <row r="19" ht="22" customHeight="1" spans="1:11">
      <c r="A19" s="9" t="s">
        <v>125</v>
      </c>
      <c r="B19" s="16" t="s">
        <v>126</v>
      </c>
      <c r="C19" s="16" t="s">
        <v>15</v>
      </c>
      <c r="D19" s="16" t="s">
        <v>127</v>
      </c>
      <c r="E19" s="16" t="s">
        <v>128</v>
      </c>
      <c r="F19" s="16" t="s">
        <v>129</v>
      </c>
      <c r="G19" s="16" t="s">
        <v>67</v>
      </c>
      <c r="H19" s="9" t="s">
        <v>130</v>
      </c>
      <c r="I19" s="9" t="s">
        <v>21</v>
      </c>
      <c r="J19" s="9" t="s">
        <v>22</v>
      </c>
      <c r="K19" s="15">
        <f ca="1" t="shared" si="0"/>
        <v>3.2</v>
      </c>
    </row>
    <row r="20" ht="22" customHeight="1" spans="1:11">
      <c r="A20" s="8" t="s">
        <v>131</v>
      </c>
      <c r="B20" s="14" t="s">
        <v>132</v>
      </c>
      <c r="C20" s="14" t="s">
        <v>41</v>
      </c>
      <c r="D20" s="14" t="s">
        <v>133</v>
      </c>
      <c r="E20" s="14" t="s">
        <v>134</v>
      </c>
      <c r="F20" s="14" t="s">
        <v>135</v>
      </c>
      <c r="G20" s="14" t="s">
        <v>19</v>
      </c>
      <c r="H20" s="8" t="s">
        <v>136</v>
      </c>
      <c r="I20" s="8" t="s">
        <v>21</v>
      </c>
      <c r="J20" s="8" t="s">
        <v>22</v>
      </c>
      <c r="K20" s="15">
        <f ca="1" t="shared" si="0"/>
        <v>11.8</v>
      </c>
    </row>
    <row r="21" ht="22" customHeight="1" spans="1:11">
      <c r="A21" s="9" t="s">
        <v>137</v>
      </c>
      <c r="B21" s="16" t="s">
        <v>138</v>
      </c>
      <c r="C21" s="16" t="s">
        <v>25</v>
      </c>
      <c r="D21" s="16" t="s">
        <v>139</v>
      </c>
      <c r="E21" s="16" t="s">
        <v>140</v>
      </c>
      <c r="F21" s="16" t="s">
        <v>141</v>
      </c>
      <c r="G21" s="16" t="s">
        <v>51</v>
      </c>
      <c r="H21" s="9" t="s">
        <v>142</v>
      </c>
      <c r="I21" s="9" t="s">
        <v>77</v>
      </c>
      <c r="J21" s="9" t="s">
        <v>84</v>
      </c>
      <c r="K21" s="15">
        <f ca="1" t="shared" si="0"/>
        <v>3.3</v>
      </c>
    </row>
    <row r="22" ht="22" customHeight="1" spans="1:11">
      <c r="A22" s="8" t="s">
        <v>143</v>
      </c>
      <c r="B22" s="14" t="s">
        <v>144</v>
      </c>
      <c r="C22" s="14" t="s">
        <v>15</v>
      </c>
      <c r="D22" s="14" t="s">
        <v>145</v>
      </c>
      <c r="E22" s="14" t="s">
        <v>146</v>
      </c>
      <c r="F22" s="14" t="s">
        <v>147</v>
      </c>
      <c r="G22" s="14" t="s">
        <v>67</v>
      </c>
      <c r="H22" s="8" t="s">
        <v>148</v>
      </c>
      <c r="I22" s="8" t="s">
        <v>21</v>
      </c>
      <c r="J22" s="8" t="s">
        <v>22</v>
      </c>
      <c r="K22" s="15">
        <f ca="1" t="shared" si="0"/>
        <v>4.9</v>
      </c>
    </row>
    <row r="23" ht="22" customHeight="1" spans="1:11">
      <c r="A23" s="9" t="s">
        <v>149</v>
      </c>
      <c r="B23" s="16" t="s">
        <v>150</v>
      </c>
      <c r="C23" s="16" t="s">
        <v>55</v>
      </c>
      <c r="D23" s="16" t="s">
        <v>151</v>
      </c>
      <c r="E23" s="16" t="s">
        <v>152</v>
      </c>
      <c r="F23" s="16" t="s">
        <v>153</v>
      </c>
      <c r="G23" s="16" t="s">
        <v>154</v>
      </c>
      <c r="H23" s="9" t="s">
        <v>155</v>
      </c>
      <c r="I23" s="9" t="s">
        <v>21</v>
      </c>
      <c r="J23" s="9" t="s">
        <v>22</v>
      </c>
      <c r="K23" s="15">
        <f ca="1" t="shared" si="0"/>
        <v>8.6</v>
      </c>
    </row>
  </sheetData>
  <mergeCells count="2">
    <mergeCell ref="A1:K1"/>
    <mergeCell ref="A2:K2"/>
  </mergeCells>
  <conditionalFormatting sqref="J4:J23">
    <cfRule type="cellIs" dxfId="0" priority="1" operator="equal">
      <formula>"Active"</formula>
    </cfRule>
    <cfRule type="cellIs" dxfId="1" priority="2" operator="equal">
      <formula>"Inactive"</formula>
    </cfRule>
    <cfRule type="cellIs" dxfId="2" priority="3" operator="equal">
      <formula>"On Leave"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5" outlineLevelCol="6"/>
  <cols>
    <col min="1" max="1" width="20" customWidth="1"/>
    <col min="2" max="2" width="16" customWidth="1"/>
    <col min="3" max="6" width="12" customWidth="1"/>
    <col min="7" max="7" width="20" customWidth="1"/>
  </cols>
  <sheetData>
    <row r="1" ht="32" customHeight="1" spans="1:7">
      <c r="A1" s="1" t="s">
        <v>156</v>
      </c>
    </row>
    <row r="2" ht="30" customHeight="1" spans="1:7">
      <c r="A2" s="6" t="s">
        <v>4</v>
      </c>
      <c r="B2" s="6" t="s">
        <v>157</v>
      </c>
      <c r="C2" s="6" t="s">
        <v>22</v>
      </c>
      <c r="D2" s="6" t="s">
        <v>61</v>
      </c>
      <c r="E2" s="6" t="s">
        <v>84</v>
      </c>
      <c r="F2" s="6" t="s">
        <v>21</v>
      </c>
      <c r="G2" s="6" t="s">
        <v>158</v>
      </c>
    </row>
    <row r="3" ht="20" customHeight="1" spans="1:7">
      <c r="A3" s="7" t="s">
        <v>15</v>
      </c>
      <c r="B3" s="8">
        <f>COUNTIF('Employee Directory'!C:C,A3)</f>
        <v>6</v>
      </c>
      <c r="C3" s="8">
        <f>COUNTIFS('Employee Directory'!C:C,A3,'Employee Directory'!J:J,"Active")</f>
        <v>6</v>
      </c>
      <c r="D3" s="8">
        <f>COUNTIFS('Employee Directory'!C:C,A3,'Employee Directory'!J:J,"Inactive")</f>
        <v>0</v>
      </c>
      <c r="E3" s="8">
        <f>COUNTIFS('Employee Directory'!C:C,A3,'Employee Directory'!J:J,"On Leave")</f>
        <v>0</v>
      </c>
      <c r="F3" s="8">
        <f>COUNTIFS('Employee Directory'!C:C,A3,'Employee Directory'!I:I,"Full-Time")</f>
        <v>5</v>
      </c>
      <c r="G3" s="8">
        <f>COUNTIFS('Employee Directory'!C:C,A3,'Employee Directory'!I:I,"Part-Time")+COUNTIFS('Employee Directory'!C:C,A3,'Employee Directory'!I:I,"Contract")</f>
        <v>1</v>
      </c>
    </row>
    <row r="4" ht="20" customHeight="1" spans="1:7">
      <c r="A4" s="7" t="s">
        <v>41</v>
      </c>
      <c r="B4" s="9">
        <f>COUNTIF('Employee Directory'!C:C,A4)</f>
        <v>3</v>
      </c>
      <c r="C4" s="9">
        <f>COUNTIFS('Employee Directory'!C:C,A4,'Employee Directory'!J:J,"Active")</f>
        <v>3</v>
      </c>
      <c r="D4" s="9">
        <f>COUNTIFS('Employee Directory'!C:C,A4,'Employee Directory'!J:J,"Inactive")</f>
        <v>0</v>
      </c>
      <c r="E4" s="9">
        <f>COUNTIFS('Employee Directory'!C:C,A4,'Employee Directory'!J:J,"On Leave")</f>
        <v>0</v>
      </c>
      <c r="F4" s="9">
        <f>COUNTIFS('Employee Directory'!C:C,A4,'Employee Directory'!I:I,"Full-Time")</f>
        <v>3</v>
      </c>
      <c r="G4" s="9">
        <f>COUNTIFS('Employee Directory'!C:C,A4,'Employee Directory'!I:I,"Part-Time")+COUNTIFS('Employee Directory'!C:C,A4,'Employee Directory'!I:I,"Contract")</f>
        <v>0</v>
      </c>
    </row>
    <row r="5" ht="20" customHeight="1" spans="1:7">
      <c r="A5" s="7" t="s">
        <v>33</v>
      </c>
      <c r="B5" s="8">
        <f>COUNTIF('Employee Directory'!C:C,A5)</f>
        <v>2</v>
      </c>
      <c r="C5" s="8">
        <f>COUNTIFS('Employee Directory'!C:C,A5,'Employee Directory'!J:J,"Active")</f>
        <v>1</v>
      </c>
      <c r="D5" s="8">
        <f>COUNTIFS('Employee Directory'!C:C,A5,'Employee Directory'!J:J,"Inactive")</f>
        <v>1</v>
      </c>
      <c r="E5" s="8">
        <f>COUNTIFS('Employee Directory'!C:C,A5,'Employee Directory'!J:J,"On Leave")</f>
        <v>0</v>
      </c>
      <c r="F5" s="8">
        <f>COUNTIFS('Employee Directory'!C:C,A5,'Employee Directory'!I:I,"Full-Time")</f>
        <v>2</v>
      </c>
      <c r="G5" s="8">
        <f>COUNTIFS('Employee Directory'!C:C,A5,'Employee Directory'!I:I,"Part-Time")+COUNTIFS('Employee Directory'!C:C,A5,'Employee Directory'!I:I,"Contract")</f>
        <v>0</v>
      </c>
    </row>
    <row r="6" ht="20" customHeight="1" spans="1:7">
      <c r="A6" s="7" t="s">
        <v>93</v>
      </c>
      <c r="B6" s="9">
        <f>COUNTIF('Employee Directory'!C:C,A6)</f>
        <v>1</v>
      </c>
      <c r="C6" s="9">
        <f>COUNTIFS('Employee Directory'!C:C,A6,'Employee Directory'!J:J,"Active")</f>
        <v>1</v>
      </c>
      <c r="D6" s="9">
        <f>COUNTIFS('Employee Directory'!C:C,A6,'Employee Directory'!J:J,"Inactive")</f>
        <v>0</v>
      </c>
      <c r="E6" s="9">
        <f>COUNTIFS('Employee Directory'!C:C,A6,'Employee Directory'!J:J,"On Leave")</f>
        <v>0</v>
      </c>
      <c r="F6" s="9">
        <f>COUNTIFS('Employee Directory'!C:C,A6,'Employee Directory'!I:I,"Full-Time")</f>
        <v>1</v>
      </c>
      <c r="G6" s="9">
        <f>COUNTIFS('Employee Directory'!C:C,A6,'Employee Directory'!I:I,"Part-Time")+COUNTIFS('Employee Directory'!C:C,A6,'Employee Directory'!I:I,"Contract")</f>
        <v>0</v>
      </c>
    </row>
    <row r="7" ht="20" customHeight="1" spans="1:7">
      <c r="A7" s="7" t="s">
        <v>25</v>
      </c>
      <c r="B7" s="8">
        <f>COUNTIF('Employee Directory'!C:C,A7)</f>
        <v>3</v>
      </c>
      <c r="C7" s="8">
        <f>COUNTIFS('Employee Directory'!C:C,A7,'Employee Directory'!J:J,"Active")</f>
        <v>1</v>
      </c>
      <c r="D7" s="8">
        <f>COUNTIFS('Employee Directory'!C:C,A7,'Employee Directory'!J:J,"Inactive")</f>
        <v>0</v>
      </c>
      <c r="E7" s="8">
        <f>COUNTIFS('Employee Directory'!C:C,A7,'Employee Directory'!J:J,"On Leave")</f>
        <v>2</v>
      </c>
      <c r="F7" s="8">
        <f>COUNTIFS('Employee Directory'!C:C,A7,'Employee Directory'!I:I,"Full-Time")</f>
        <v>2</v>
      </c>
      <c r="G7" s="8">
        <f>COUNTIFS('Employee Directory'!C:C,A7,'Employee Directory'!I:I,"Part-Time")+COUNTIFS('Employee Directory'!C:C,A7,'Employee Directory'!I:I,"Contract")</f>
        <v>1</v>
      </c>
    </row>
    <row r="8" ht="20" customHeight="1" spans="1:7">
      <c r="A8" s="7" t="s">
        <v>71</v>
      </c>
      <c r="B8" s="9">
        <f>COUNTIF('Employee Directory'!C:C,A8)</f>
        <v>2</v>
      </c>
      <c r="C8" s="9">
        <f>COUNTIFS('Employee Directory'!C:C,A8,'Employee Directory'!J:J,"Active")</f>
        <v>2</v>
      </c>
      <c r="D8" s="9">
        <f>COUNTIFS('Employee Directory'!C:C,A8,'Employee Directory'!J:J,"Inactive")</f>
        <v>0</v>
      </c>
      <c r="E8" s="9">
        <f>COUNTIFS('Employee Directory'!C:C,A8,'Employee Directory'!J:J,"On Leave")</f>
        <v>0</v>
      </c>
      <c r="F8" s="9">
        <f>COUNTIFS('Employee Directory'!C:C,A8,'Employee Directory'!I:I,"Full-Time")</f>
        <v>1</v>
      </c>
      <c r="G8" s="9">
        <f>COUNTIFS('Employee Directory'!C:C,A8,'Employee Directory'!I:I,"Part-Time")+COUNTIFS('Employee Directory'!C:C,A8,'Employee Directory'!I:I,"Contract")</f>
        <v>1</v>
      </c>
    </row>
    <row r="9" ht="20" customHeight="1" spans="1:7">
      <c r="A9" s="7" t="s">
        <v>55</v>
      </c>
      <c r="B9" s="8">
        <f>COUNTIF('Employee Directory'!C:C,A9)</f>
        <v>3</v>
      </c>
      <c r="C9" s="8">
        <f>COUNTIFS('Employee Directory'!C:C,A9,'Employee Directory'!J:J,"Active")</f>
        <v>2</v>
      </c>
      <c r="D9" s="8">
        <f>COUNTIFS('Employee Directory'!C:C,A9,'Employee Directory'!J:J,"Inactive")</f>
        <v>1</v>
      </c>
      <c r="E9" s="8">
        <f>COUNTIFS('Employee Directory'!C:C,A9,'Employee Directory'!J:J,"On Leave")</f>
        <v>0</v>
      </c>
      <c r="F9" s="8">
        <f>COUNTIFS('Employee Directory'!C:C,A9,'Employee Directory'!I:I,"Full-Time")</f>
        <v>3</v>
      </c>
      <c r="G9" s="8">
        <f>COUNTIFS('Employee Directory'!C:C,A9,'Employee Directory'!I:I,"Part-Time")+COUNTIFS('Employee Directory'!C:C,A9,'Employee Directory'!I:I,"Contract")</f>
        <v>0</v>
      </c>
    </row>
    <row r="10" ht="24" customHeight="1" spans="1:7">
      <c r="A10" s="10" t="s">
        <v>159</v>
      </c>
      <c r="B10" s="11">
        <f t="shared" ref="B10:G10" si="0">SUM(B3:B9)</f>
        <v>20</v>
      </c>
      <c r="C10" s="11">
        <f t="shared" si="0"/>
        <v>16</v>
      </c>
      <c r="D10" s="11">
        <f t="shared" si="0"/>
        <v>2</v>
      </c>
      <c r="E10" s="11">
        <f t="shared" si="0"/>
        <v>2</v>
      </c>
      <c r="F10" s="11">
        <f t="shared" si="0"/>
        <v>17</v>
      </c>
      <c r="G10" s="11">
        <f t="shared" si="0"/>
        <v>3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"/>
    </sheetView>
  </sheetViews>
  <sheetFormatPr defaultColWidth="9" defaultRowHeight="15" outlineLevelCol="1"/>
  <cols>
    <col min="1" max="1" width="22" customWidth="1"/>
    <col min="2" max="2" width="40" customWidth="1"/>
  </cols>
  <sheetData>
    <row r="1" ht="30" customHeight="1" spans="1:2">
      <c r="A1" s="1" t="s">
        <v>160</v>
      </c>
    </row>
    <row r="2" ht="20" customHeight="1" spans="1:2">
      <c r="A2" s="2" t="s">
        <v>161</v>
      </c>
      <c r="B2" s="3" t="s">
        <v>162</v>
      </c>
    </row>
    <row r="3" ht="20" customHeight="1" spans="1:2">
      <c r="A3" s="4" t="s">
        <v>163</v>
      </c>
      <c r="B3" s="5" t="s">
        <v>164</v>
      </c>
    </row>
    <row r="4" ht="20" customHeight="1" spans="1:2">
      <c r="A4" s="4" t="s">
        <v>165</v>
      </c>
      <c r="B4" s="5" t="s">
        <v>166</v>
      </c>
    </row>
    <row r="5" ht="20" customHeight="1" spans="1:2">
      <c r="A5" s="4" t="s">
        <v>167</v>
      </c>
      <c r="B5" s="5" t="s">
        <v>168</v>
      </c>
    </row>
    <row r="6" ht="20" customHeight="1" spans="1:2">
      <c r="A6" s="4" t="s">
        <v>162</v>
      </c>
      <c r="B6" s="5" t="s">
        <v>162</v>
      </c>
    </row>
    <row r="7" ht="20" customHeight="1" spans="1:2">
      <c r="A7" s="2" t="s">
        <v>169</v>
      </c>
      <c r="B7" s="3" t="s">
        <v>162</v>
      </c>
    </row>
    <row r="8" ht="20" customHeight="1" spans="1:2">
      <c r="A8" s="4" t="s">
        <v>170</v>
      </c>
      <c r="B8" s="5" t="s">
        <v>171</v>
      </c>
    </row>
    <row r="9" ht="20" customHeight="1" spans="1:2">
      <c r="A9" s="4" t="s">
        <v>172</v>
      </c>
      <c r="B9" s="5" t="s">
        <v>173</v>
      </c>
    </row>
    <row r="10" ht="20" customHeight="1" spans="1:2">
      <c r="A10" s="4" t="s">
        <v>174</v>
      </c>
      <c r="B10" s="5" t="s">
        <v>175</v>
      </c>
    </row>
    <row r="11" ht="20" customHeight="1" spans="1:2">
      <c r="A11" s="4" t="s">
        <v>176</v>
      </c>
      <c r="B11" s="5" t="s">
        <v>177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 Directory</vt:lpstr>
      <vt:lpstr>Department Summary</vt:lpstr>
      <vt:lpstr>Legend &amp;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</cp:lastModifiedBy>
  <dcterms:created xsi:type="dcterms:W3CDTF">2026-03-17T00:33:00Z</dcterms:created>
  <dcterms:modified xsi:type="dcterms:W3CDTF">2026-03-17T00:41:24Z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345CC5F89E914803BAFBEFA9D4A3511A_13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