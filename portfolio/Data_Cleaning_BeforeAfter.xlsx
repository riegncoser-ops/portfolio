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 firstSheet="1" activeTab="3"/>
  </bookViews>
  <sheets>
    <sheet name="① RAW DATA (Before)" sheetId="1" r:id="rId1"/>
    <sheet name="② CLEANING STEPS" sheetId="2" r:id="rId2"/>
    <sheet name="③ CLEAN DATA (After)" sheetId="3" r:id="rId3"/>
    <sheet name="④ BEFORE vs AFTER" sheetId="4" r:id="rId4"/>
    <sheet name="⑤ SUMMARY DASHBOARD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<sst xmlns="http://schemas.openxmlformats.org/spreadsheetml/2006/main" count="597" uniqueCount="346">
  <si>
    <t>⚠️  RAW INPUT DATA — Unstructured &amp; Messy (Before Cleaning)</t>
  </si>
  <si>
    <t>This represents a real-world dump of customer records — inconsistent formats, duplicates, missing fields, mixed casing, junk entries.</t>
  </si>
  <si>
    <t>customer name</t>
  </si>
  <si>
    <t>PHONE NUMBER</t>
  </si>
  <si>
    <t>E-Mail Address</t>
  </si>
  <si>
    <t>Purchase Amt</t>
  </si>
  <si>
    <t>date</t>
  </si>
  <si>
    <t>Notes / status</t>
  </si>
  <si>
    <t>john smith</t>
  </si>
  <si>
    <t>555-2019-1001</t>
  </si>
  <si>
    <t>john.smith@gmail.com</t>
  </si>
  <si>
    <t>1500</t>
  </si>
  <si>
    <t>03/15/2024</t>
  </si>
  <si>
    <t>VIP</t>
  </si>
  <si>
    <t>⚠ Lowercase name</t>
  </si>
  <si>
    <t>MARY JOHNSON</t>
  </si>
  <si>
    <t>(555)201-1002</t>
  </si>
  <si>
    <t>MARY.J@YAHOO.COM</t>
  </si>
  <si>
    <t>$2,250</t>
  </si>
  <si>
    <t>2024-03-16</t>
  </si>
  <si>
    <t>premium customer</t>
  </si>
  <si>
    <t>⚠ Inconsistent phone + ALL CAPS email</t>
  </si>
  <si>
    <t>Bob Davis</t>
  </si>
  <si>
    <t>5552011003</t>
  </si>
  <si>
    <t>bob.davis</t>
  </si>
  <si>
    <t>875.50</t>
  </si>
  <si>
    <t>March 17 2024</t>
  </si>
  <si>
    <t/>
  </si>
  <si>
    <t>⚠ Invalid phone, broken email, wrong date fmt</t>
  </si>
  <si>
    <t>555-201-1004</t>
  </si>
  <si>
    <t>carol.white@outlook.com</t>
  </si>
  <si>
    <t>3200</t>
  </si>
  <si>
    <t>03/18/24</t>
  </si>
  <si>
    <t>new</t>
  </si>
  <si>
    <t>⚠ Missing name (blank)</t>
  </si>
  <si>
    <t>Tom  Williams</t>
  </si>
  <si>
    <t>555-201-1005</t>
  </si>
  <si>
    <t>tom.williams@company.com</t>
  </si>
  <si>
    <t>N/A</t>
  </si>
  <si>
    <t>03/19/2024</t>
  </si>
  <si>
    <t>refunded</t>
  </si>
  <si>
    <t>⚠ Amount = N/A</t>
  </si>
  <si>
    <t>alice brown</t>
  </si>
  <si>
    <t>555.201.1006</t>
  </si>
  <si>
    <t>alice.brown@gmail.com</t>
  </si>
  <si>
    <t>650</t>
  </si>
  <si>
    <t>20/03/2024</t>
  </si>
  <si>
    <t>Regular</t>
  </si>
  <si>
    <t>⚠ Phone uses dots; date in DD/MM format</t>
  </si>
  <si>
    <t>JOHN SMITH</t>
  </si>
  <si>
    <t>VIP -- DUPLICATE</t>
  </si>
  <si>
    <t>🔴 EXACT DUPLICATE of row 1</t>
  </si>
  <si>
    <t>Michael Garcia</t>
  </si>
  <si>
    <t>555-201-1007</t>
  </si>
  <si>
    <t>m.garcia@</t>
  </si>
  <si>
    <t>4100</t>
  </si>
  <si>
    <t>03/21/2024</t>
  </si>
  <si>
    <t>enterprise</t>
  </si>
  <si>
    <t>⚠ Broken email (ends with @)</t>
  </si>
  <si>
    <t>Sara Lee</t>
  </si>
  <si>
    <t>555-201-1008</t>
  </si>
  <si>
    <t>sara.lee@hotmail.com</t>
  </si>
  <si>
    <t>200.00</t>
  </si>
  <si>
    <t>03-22-2024</t>
  </si>
  <si>
    <t>⚠ Date uses dashes instead of slashes</t>
  </si>
  <si>
    <t>David Kim</t>
  </si>
  <si>
    <t>555-201-1009</t>
  </si>
  <si>
    <t>david.kim@gmail.com</t>
  </si>
  <si>
    <t>$1,800</t>
  </si>
  <si>
    <t>03/23/2024</t>
  </si>
  <si>
    <t>JENNIFER LOPEZ</t>
  </si>
  <si>
    <t>555 201 1010</t>
  </si>
  <si>
    <t>j.lopez@business.net</t>
  </si>
  <si>
    <t>920</t>
  </si>
  <si>
    <t>24/03/24</t>
  </si>
  <si>
    <t>premium</t>
  </si>
  <si>
    <t>⚠ Date DD/MM/YY + inconsistent phone spacing</t>
  </si>
  <si>
    <t>chris  taylor</t>
  </si>
  <si>
    <t>555-201-1011</t>
  </si>
  <si>
    <t>chris.taylor@gmail.com</t>
  </si>
  <si>
    <t>3,400</t>
  </si>
  <si>
    <t>03/25/2024</t>
  </si>
  <si>
    <t>⚠ Extra spaces in name; commas in amount</t>
  </si>
  <si>
    <t>n/a</t>
  </si>
  <si>
    <t>555-201-1012</t>
  </si>
  <si>
    <t>patricia.moore@yahoo.com</t>
  </si>
  <si>
    <t>750</t>
  </si>
  <si>
    <t>03/26/2024</t>
  </si>
  <si>
    <t>new customer</t>
  </si>
  <si>
    <t>⚠ Name is 'n/a' — placeholder not real name</t>
  </si>
  <si>
    <t>Kevin Anderson</t>
  </si>
  <si>
    <t>5-5-5-2-0-1-1-0-1-3</t>
  </si>
  <si>
    <t>k.anderson@company.com</t>
  </si>
  <si>
    <t>2900</t>
  </si>
  <si>
    <t>03/27/2024</t>
  </si>
  <si>
    <t>Enterprise</t>
  </si>
  <si>
    <t>⚠ Malformed phone number</t>
  </si>
  <si>
    <t>Lisa Martinez</t>
  </si>
  <si>
    <t>555-201-1014</t>
  </si>
  <si>
    <t>lisa.martinez@gmail</t>
  </si>
  <si>
    <t>1100</t>
  </si>
  <si>
    <t>03282024</t>
  </si>
  <si>
    <t>regular</t>
  </si>
  <si>
    <t>⚠ Email missing domain; date no separators</t>
  </si>
  <si>
    <t>James Wilson</t>
  </si>
  <si>
    <t>555-201-1015</t>
  </si>
  <si>
    <t>james.wilson@outlook.com</t>
  </si>
  <si>
    <t>5500</t>
  </si>
  <si>
    <t>03/29/2024</t>
  </si>
  <si>
    <t>DELETE ROW</t>
  </si>
  <si>
    <t>🔴 EMPTY ROW — should be deleted</t>
  </si>
  <si>
    <t>Susan TAYLOR</t>
  </si>
  <si>
    <t>555-201-1016</t>
  </si>
  <si>
    <t>susan.taylor@company.com</t>
  </si>
  <si>
    <t>$3,750</t>
  </si>
  <si>
    <t>03/30/2024</t>
  </si>
  <si>
    <t>Premium</t>
  </si>
  <si>
    <t>⚠ Mixed case name; $ in amount field</t>
  </si>
  <si>
    <t>Robert Thomas</t>
  </si>
  <si>
    <t>555-201-1017</t>
  </si>
  <si>
    <t>robert.thomas@gmail.com</t>
  </si>
  <si>
    <t>680</t>
  </si>
  <si>
    <t>31/03/2024</t>
  </si>
  <si>
    <t>⚠ Date in DD/MM/YYYY (European format)</t>
  </si>
  <si>
    <t>Amanda White</t>
  </si>
  <si>
    <t>555-201-1018</t>
  </si>
  <si>
    <t>a.white@business.net</t>
  </si>
  <si>
    <t>2,200</t>
  </si>
  <si>
    <t>04/01/2024</t>
  </si>
  <si>
    <t xml:space="preserve">  ❌  Issues Found: 6 blank/invalid names  •  5 broken emails  •  4 phone format errors  •  3 amount inconsistencies  •  3 date format mismatches  •  1 duplicate  •  1 empty row</t>
  </si>
  <si>
    <t xml:space="preserve">  DATA CLEANING PROCESS — Step-by-Step Transformation Log</t>
  </si>
  <si>
    <t>Each row documents one cleaning action: the problem identified, transformation applied, and validation rule used.</t>
  </si>
  <si>
    <t>Step #</t>
  </si>
  <si>
    <t>Field / Column</t>
  </si>
  <si>
    <t>Problem Type</t>
  </si>
  <si>
    <t>Example (Before)</t>
  </si>
  <si>
    <t>Transformation Applied</t>
  </si>
  <si>
    <t>Validation Rule</t>
  </si>
  <si>
    <t>1</t>
  </si>
  <si>
    <t>Customer Name</t>
  </si>
  <si>
    <t>Duplicates</t>
  </si>
  <si>
    <t>JOHN SMITH (row 1 &amp; 7)</t>
  </si>
  <si>
    <t>Identify with COUNTIF; flag &amp; remove exact duplicates</t>
  </si>
  <si>
    <t>No duplicate Full Name + Email pairs</t>
  </si>
  <si>
    <t>2</t>
  </si>
  <si>
    <t>Empty / placeholder</t>
  </si>
  <si>
    <t>'', 'n/a' in name field</t>
  </si>
  <si>
    <t>Replace blank/n/a with 'Unknown — Review'; flag for follow-up</t>
  </si>
  <si>
    <t>Name field cannot be blank or literal 'n/a'</t>
  </si>
  <si>
    <t>3</t>
  </si>
  <si>
    <t>Inconsistent case</t>
  </si>
  <si>
    <t>MARY JOHNSON / alice brown</t>
  </si>
  <si>
    <t>Apply PROPER() function → Title Case standardization</t>
  </si>
  <si>
    <t>All names = Title Case (Firstname Lastname)</t>
  </si>
  <si>
    <t>4</t>
  </si>
  <si>
    <t>Extra whitespace</t>
  </si>
  <si>
    <t>'Tom  Williams' (double space)</t>
  </si>
  <si>
    <t>TRIM() to remove leading, trailing, internal double spaces</t>
  </si>
  <si>
    <t>No double spaces; TRIM(name) = name</t>
  </si>
  <si>
    <t>5</t>
  </si>
  <si>
    <t>Phone Number</t>
  </si>
  <si>
    <t>Format inconsistency</t>
  </si>
  <si>
    <t>555.201.1006 / 555 201 1010</t>
  </si>
  <si>
    <t>Strip all non-digits; reformat to (555) 201-XXXX pattern</t>
  </si>
  <si>
    <t>All phones match (NNN) NNN-NNNN</t>
  </si>
  <si>
    <t>6</t>
  </si>
  <si>
    <t>Malformed / garbled</t>
  </si>
  <si>
    <t>Detect &lt;10 or &gt;10 digits after strip; flag as INVALID</t>
  </si>
  <si>
    <t>Exactly 10 digits after stripping formatting</t>
  </si>
  <si>
    <t>7</t>
  </si>
  <si>
    <t>Email Address</t>
  </si>
  <si>
    <t>ALL CAPS emails</t>
  </si>
  <si>
    <t>LOWER() function applied to entire email column</t>
  </si>
  <si>
    <t>No uppercase letters in email</t>
  </si>
  <si>
    <t>8</t>
  </si>
  <si>
    <t>Broken / incomplete</t>
  </si>
  <si>
    <t>bob.davis / m.garcia@</t>
  </si>
  <si>
    <t>Flag rows where email lacks '@' or valid domain (.com etc.)</t>
  </si>
  <si>
    <t>Must contain '@' and end with valid TLD</t>
  </si>
  <si>
    <t>9</t>
  </si>
  <si>
    <t>Purchase Amount</t>
  </si>
  <si>
    <t>Currency symbols</t>
  </si>
  <si>
    <t>$2,250 / $1,800</t>
  </si>
  <si>
    <t>Substitute('$','') + Substitute(',','') → convert to number</t>
  </si>
  <si>
    <t>Amount stored as numeric, no $ or commas</t>
  </si>
  <si>
    <t>10</t>
  </si>
  <si>
    <t>Text / N/A values</t>
  </si>
  <si>
    <t>N/A in amount field</t>
  </si>
  <si>
    <t>Replace 'N/A' with 0; add 'Refunded' flag in Status column</t>
  </si>
  <si>
    <t>Amount column = numeric data type only</t>
  </si>
  <si>
    <t>11</t>
  </si>
  <si>
    <t>Purchase Date</t>
  </si>
  <si>
    <t>Multiple date formats</t>
  </si>
  <si>
    <t>03/15/2024 vs 2024-03-16 vs March 17 2024</t>
  </si>
  <si>
    <t>Parse all variants; normalize to YYYY-MM-DD (ISO 8601)</t>
  </si>
  <si>
    <t>All dates = YYYY-MM-DD; validates as Excel date</t>
  </si>
  <si>
    <t>12</t>
  </si>
  <si>
    <t>Day/Month confusion</t>
  </si>
  <si>
    <t>20/03/2024 (DD/MM) vs 03/20/2024</t>
  </si>
  <si>
    <t>Flag ambiguous dates; apply locale rule — MM/DD/YYYY assumed</t>
  </si>
  <si>
    <t>Dates within plausible range (2020–2025)</t>
  </si>
  <si>
    <t>13</t>
  </si>
  <si>
    <t>No separators</t>
  </si>
  <si>
    <t>Insert separators using MID/LEFT/RIGHT string parsing</t>
  </si>
  <si>
    <t>Date must parse successfully in Excel</t>
  </si>
  <si>
    <t>14</t>
  </si>
  <si>
    <t>Status / Notes</t>
  </si>
  <si>
    <t>Inconsistent labels</t>
  </si>
  <si>
    <t>VIP / premium / Premium / PREMIUM</t>
  </si>
  <si>
    <t>PROPER() + TRIM; map synonyms to standard categories</t>
  </si>
  <si>
    <t>Status in: {VIP, Premium, Regular, New, Refunded}</t>
  </si>
  <si>
    <t>15</t>
  </si>
  <si>
    <t>All Columns</t>
  </si>
  <si>
    <t>Empty rows</t>
  </si>
  <si>
    <t>Row 17 — all cells blank</t>
  </si>
  <si>
    <t>Delete rows where all key fields (Name+Phone+Email) are empty</t>
  </si>
  <si>
    <t>No fully blank data rows</t>
  </si>
  <si>
    <t xml:space="preserve"> CLEANED &amp; STRUCTURED CUSTOMER RECORDS (After Data Cleaning)</t>
  </si>
  <si>
    <t>19 raw records → 17 valid records  |  1 duplicate removed  |  1 empty row deleted  |  All fields standardized &amp; validated</t>
  </si>
  <si>
    <t>Cust ID</t>
  </si>
  <si>
    <t>Full Name</t>
  </si>
  <si>
    <t>Phone</t>
  </si>
  <si>
    <t>Email</t>
  </si>
  <si>
    <t>Status</t>
  </si>
  <si>
    <t>Data Quality</t>
  </si>
  <si>
    <t>C-001</t>
  </si>
  <si>
    <t>John Smith</t>
  </si>
  <si>
    <t>(555) 201-1001</t>
  </si>
  <si>
    <t>2024-03-15</t>
  </si>
  <si>
    <t>✅ Clean</t>
  </si>
  <si>
    <t>C-002</t>
  </si>
  <si>
    <t>Mary Johnson</t>
  </si>
  <si>
    <t>(555) 201-1002</t>
  </si>
  <si>
    <t>mary.j@yahoo.com</t>
  </si>
  <si>
    <t>C-003</t>
  </si>
  <si>
    <t>⚠ INVALID</t>
  </si>
  <si>
    <t>⚠ Incomplete email</t>
  </si>
  <si>
    <t>2024-03-17</t>
  </si>
  <si>
    <t>Unknown</t>
  </si>
  <si>
    <t>⚠ Review</t>
  </si>
  <si>
    <t>C-004</t>
  </si>
  <si>
    <t>Unknown — Review</t>
  </si>
  <si>
    <t>(555) 201-1004</t>
  </si>
  <si>
    <t>2024-03-18</t>
  </si>
  <si>
    <t>New</t>
  </si>
  <si>
    <t>C-005</t>
  </si>
  <si>
    <t>Tom Williams</t>
  </si>
  <si>
    <t>(555) 201-1005</t>
  </si>
  <si>
    <t>2024-03-19</t>
  </si>
  <si>
    <t>Refunded</t>
  </si>
  <si>
    <t>C-006</t>
  </si>
  <si>
    <t>Alice Brown</t>
  </si>
  <si>
    <t>(555) 201-1006</t>
  </si>
  <si>
    <t>2024-03-20</t>
  </si>
  <si>
    <t>C-007</t>
  </si>
  <si>
    <t>(555) 201-1007</t>
  </si>
  <si>
    <t>2024-03-21</t>
  </si>
  <si>
    <t>C-008</t>
  </si>
  <si>
    <t>(555) 201-1008</t>
  </si>
  <si>
    <t>2024-03-22</t>
  </si>
  <si>
    <t>C-009</t>
  </si>
  <si>
    <t>(555) 201-1009</t>
  </si>
  <si>
    <t>2024-03-23</t>
  </si>
  <si>
    <t>C-010</t>
  </si>
  <si>
    <t>Jennifer Lopez</t>
  </si>
  <si>
    <t>(555) 201-1010</t>
  </si>
  <si>
    <t>2024-03-24</t>
  </si>
  <si>
    <t>C-011</t>
  </si>
  <si>
    <t>Chris Taylor</t>
  </si>
  <si>
    <t>(555) 201-1011</t>
  </si>
  <si>
    <t>2024-03-25</t>
  </si>
  <si>
    <t>C-012</t>
  </si>
  <si>
    <t>(555) 201-1012</t>
  </si>
  <si>
    <t>2024-03-26</t>
  </si>
  <si>
    <t>C-013</t>
  </si>
  <si>
    <t>2024-03-27</t>
  </si>
  <si>
    <t>C-014</t>
  </si>
  <si>
    <t>(555) 201-1014</t>
  </si>
  <si>
    <t>2024-03-28</t>
  </si>
  <si>
    <t>C-015</t>
  </si>
  <si>
    <t>(555) 201-1015</t>
  </si>
  <si>
    <t>2024-03-29</t>
  </si>
  <si>
    <t>C-016</t>
  </si>
  <si>
    <t>Susan Taylor</t>
  </si>
  <si>
    <t>(555) 201-1016</t>
  </si>
  <si>
    <t>2024-03-30</t>
  </si>
  <si>
    <t>C-017</t>
  </si>
  <si>
    <t>(555) 201-1017</t>
  </si>
  <si>
    <t>2024-03-31</t>
  </si>
  <si>
    <t>C-018</t>
  </si>
  <si>
    <t>(555) 201-1018</t>
  </si>
  <si>
    <t>2024-04-01</t>
  </si>
  <si>
    <t>TOTALS  (18 records)</t>
  </si>
  <si>
    <t>Clean: 12  |  Needs Review: 6</t>
  </si>
  <si>
    <t>📊  SIDE-BY-SIDE COMPARISON — Raw Data vs. Cleaned Data</t>
  </si>
  <si>
    <t>❌  BEFORE — Raw / Unstructured</t>
  </si>
  <si>
    <t>✅  AFTER — Clean / Structured</t>
  </si>
  <si>
    <t>Name (raw)</t>
  </si>
  <si>
    <t>Phone (raw)</t>
  </si>
  <si>
    <t>Email (raw)</t>
  </si>
  <si>
    <t>Amount (raw)</t>
  </si>
  <si>
    <t>Date (raw)</t>
  </si>
  <si>
    <t>→</t>
  </si>
  <si>
    <t>Amount</t>
  </si>
  <si>
    <t>Date</t>
  </si>
  <si>
    <t>Quality Flag</t>
  </si>
  <si>
    <t>$1,500.00</t>
  </si>
  <si>
    <t>$2,250.00</t>
  </si>
  <si>
    <t>$875.50</t>
  </si>
  <si>
    <t>$3,200.00</t>
  </si>
  <si>
    <t>$0.00</t>
  </si>
  <si>
    <t>$650.00</t>
  </si>
  <si>
    <t>JOHN SMITH (DUPE)</t>
  </si>
  <si>
    <t>🗑 DUPLICATE REMOVED</t>
  </si>
  <si>
    <t>—</t>
  </si>
  <si>
    <t>🗑 Deleted</t>
  </si>
  <si>
    <t>$4,100.00</t>
  </si>
  <si>
    <t>$750.00</t>
  </si>
  <si>
    <t>$2,900.00</t>
  </si>
  <si>
    <t>$1,100.00</t>
  </si>
  <si>
    <t>🗑 EMPTY ROW REMOVED</t>
  </si>
  <si>
    <t>$3,750.00</t>
  </si>
  <si>
    <t>$680.00</t>
  </si>
  <si>
    <t>📈  DATA CLEANING RESULTS DASHBOARD</t>
  </si>
  <si>
    <t>20
Total Records
Received</t>
  </si>
  <si>
    <t>18
Issues
Identified</t>
  </si>
  <si>
    <t>12
Clean Records
(Final)</t>
  </si>
  <si>
    <t>5
Records Need
Review</t>
  </si>
  <si>
    <t>Issue Category</t>
  </si>
  <si>
    <t>Count Found</t>
  </si>
  <si>
    <t>Count Fixed</t>
  </si>
  <si>
    <t>Duplicate records</t>
  </si>
  <si>
    <t>✅ Removed</t>
  </si>
  <si>
    <t>Empty / null rows</t>
  </si>
  <si>
    <t>Invalid phone numbers</t>
  </si>
  <si>
    <t>⚠ 1 Pending</t>
  </si>
  <si>
    <t>Broken / incomplete emails</t>
  </si>
  <si>
    <t>⚠ Flagged</t>
  </si>
  <si>
    <t>Non-standard name casing</t>
  </si>
  <si>
    <t>✅ Fixed</t>
  </si>
  <si>
    <t>Amount formatting ($ / ,)</t>
  </si>
  <si>
    <t>Mixed date formats</t>
  </si>
  <si>
    <t>Placeholder names (n/a)</t>
  </si>
  <si>
    <t>✅ Flagged</t>
  </si>
  <si>
    <t>TOTAL</t>
  </si>
  <si>
    <t>💼  KEY DATA SKILLS DEMONSTRATED:   Data Profiling  •  Deduplication  •  String Normalisation  •  Format Standardisation  •  Validation Rules  •  Audit Logging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</si>
</sst>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&quot;$&quot;#,##0.00"/>
  </numFmts>
  <fonts count="54">
    <font>
      <sz val="11"/>
      <color theme="1"/>
      <name val="Calibri"/>
      <charset val="134"/>
      <scheme val="minor"/>
    </font>
    <font>
      <b/>
      <sz val="16"/>
      <color rgb="FFFFFFFF"/>
      <name val="Arial"/>
      <charset val="134"/>
    </font>
    <font>
      <b/>
      <sz val="18"/>
      <color rgb="FFFFFFFF"/>
      <name val="Arial"/>
      <charset val="134"/>
    </font>
    <font>
      <b/>
      <sz val="11"/>
      <color rgb="FFFFFFFF"/>
      <name val="Arial"/>
      <charset val="134"/>
    </font>
    <font>
      <sz val="10"/>
      <color rgb="FF222222"/>
      <name val="Arial"/>
      <charset val="134"/>
    </font>
    <font>
      <b/>
      <sz val="11"/>
      <color rgb="FF9C1C1C"/>
      <name val="Arial"/>
      <charset val="134"/>
    </font>
    <font>
      <b/>
      <sz val="11"/>
      <color rgb="FF1B5E20"/>
      <name val="Arial"/>
      <charset val="134"/>
    </font>
    <font>
      <b/>
      <sz val="10"/>
      <color rgb="FF1B5E20"/>
      <name val="Arial"/>
      <charset val="134"/>
    </font>
    <font>
      <b/>
      <sz val="10"/>
      <color rgb="FF6D4C00"/>
      <name val="Arial"/>
      <charset val="134"/>
    </font>
    <font>
      <b/>
      <sz val="11"/>
      <color rgb="FF1A237E"/>
      <name val="Arial"/>
      <charset val="134"/>
    </font>
    <font>
      <b/>
      <sz val="15"/>
      <color rgb="FFFFFFFF"/>
      <name val="Arial"/>
      <charset val="134"/>
    </font>
    <font>
      <b/>
      <sz val="12"/>
      <color rgb="FFFFFFFF"/>
      <name val="Arial"/>
      <charset val="134"/>
    </font>
    <font>
      <b/>
      <sz val="10"/>
      <color rgb="FFFFCDD2"/>
      <name val="Arial"/>
      <charset val="134"/>
    </font>
    <font>
      <b/>
      <sz val="14"/>
      <color rgb="FF555555"/>
      <name val="Arial"/>
      <charset val="134"/>
    </font>
    <font>
      <b/>
      <sz val="10"/>
      <color rgb="FFC8E6C9"/>
      <name val="Arial"/>
      <charset val="134"/>
    </font>
    <font>
      <sz val="9"/>
      <color rgb="FF9C1C1C"/>
      <name val="Arial"/>
      <charset val="134"/>
    </font>
    <font>
      <b/>
      <sz val="14"/>
      <color rgb="FF1565C0"/>
      <name val="Arial"/>
      <charset val="134"/>
    </font>
    <font>
      <b/>
      <sz val="9"/>
      <color rgb="FF1B5E20"/>
      <name val="Arial"/>
      <charset val="134"/>
    </font>
    <font>
      <sz val="9"/>
      <color rgb="FF6D4C00"/>
      <name val="Arial"/>
      <charset val="134"/>
    </font>
    <font>
      <i/>
      <sz val="9"/>
      <color rgb="FF666666"/>
      <name val="Arial"/>
      <charset val="134"/>
    </font>
    <font>
      <i/>
      <sz val="9"/>
      <color rgb="FF888888"/>
      <name val="Arial"/>
      <charset val="134"/>
    </font>
    <font>
      <b/>
      <sz val="10"/>
      <color rgb="FF888888"/>
      <name val="Arial"/>
      <charset val="134"/>
    </font>
    <font>
      <b/>
      <sz val="14"/>
      <color rgb="FFFFFFFF"/>
      <name val="Arial"/>
      <charset val="134"/>
    </font>
    <font>
      <i/>
      <sz val="10"/>
      <color rgb="FF1B5E20"/>
      <name val="Arial"/>
      <charset val="134"/>
    </font>
    <font>
      <b/>
      <i/>
      <sz val="10"/>
      <color rgb="FF6D4C00"/>
      <name val="Arial"/>
      <charset val="134"/>
    </font>
    <font>
      <b/>
      <sz val="10"/>
      <color rgb="FFFFFFFF"/>
      <name val="Arial"/>
      <charset val="134"/>
    </font>
    <font>
      <i/>
      <sz val="10"/>
      <color rgb="FF333333"/>
      <name val="Arial"/>
      <charset val="134"/>
    </font>
    <font>
      <sz val="9"/>
      <color rgb="FF222222"/>
      <name val="Arial"/>
      <charset val="134"/>
    </font>
    <font>
      <i/>
      <sz val="10"/>
      <color rgb="FF555555"/>
      <name val="Arial"/>
      <charset val="134"/>
    </font>
    <font>
      <sz val="10"/>
      <color rgb="FFFFCCCC"/>
      <name val="Arial"/>
      <charset val="134"/>
    </font>
    <font>
      <sz val="9"/>
      <color rgb="FF333333"/>
      <name val="Arial"/>
      <charset val="134"/>
    </font>
    <font>
      <b/>
      <sz val="9"/>
      <color rgb="FF9C1C1C"/>
      <name val="Arial"/>
      <charset val="134"/>
    </font>
    <font>
      <i/>
      <sz val="9"/>
      <color rgb="FF9C1C1C"/>
      <name val="Arial"/>
      <charset val="134"/>
    </font>
    <font>
      <b/>
      <sz val="10"/>
      <color rgb="FF7B000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55">
    <fill>
      <patternFill patternType="none"/>
    </fill>
    <fill>
      <patternFill patternType="gray125"/>
    </fill>
    <fill>
      <patternFill patternType="solid">
        <fgColor rgb="FF1E3A5F"/>
        <bgColor indexed="64"/>
      </patternFill>
    </fill>
    <fill>
      <patternFill patternType="solid">
        <fgColor rgb="FFC62828"/>
        <bgColor indexed="64"/>
      </patternFill>
    </fill>
    <fill>
      <patternFill patternType="solid">
        <fgColor rgb="FF1B5E20"/>
        <bgColor indexed="64"/>
      </patternFill>
    </fill>
    <fill>
      <patternFill patternType="solid">
        <fgColor rgb="FFE65100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EAF1FB"/>
        <bgColor indexed="64"/>
      </patternFill>
    </fill>
    <fill>
      <patternFill patternType="solid">
        <fgColor rgb="FFFFE5E5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E8EAF6"/>
        <bgColor indexed="64"/>
      </patternFill>
    </fill>
    <fill>
      <patternFill patternType="solid">
        <fgColor rgb="FFECEFF1"/>
        <bgColor indexed="64"/>
      </patternFill>
    </fill>
    <fill>
      <patternFill patternType="solid">
        <fgColor rgb="FFB71C1C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1565C0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8B0000"/>
        <bgColor indexed="64"/>
      </patternFill>
    </fill>
    <fill>
      <patternFill patternType="solid">
        <fgColor rgb="FFFFF8F8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FFD7D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medium">
        <color rgb="FF1E3A5F"/>
      </left>
      <right style="medium">
        <color rgb="FF1E3A5F"/>
      </right>
      <top style="medium">
        <color rgb="FF1E3A5F"/>
      </top>
      <bottom style="medium">
        <color rgb="FF1E3A5F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medium">
        <color rgb="FF3949AB"/>
      </left>
      <right style="medium">
        <color rgb="FF3949AB"/>
      </right>
      <top style="medium">
        <color rgb="FF3949AB"/>
      </top>
      <bottom style="medium">
        <color rgb="FF3949AB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B0BEC5"/>
      </top>
      <bottom style="thin">
        <color rgb="FFB0BEC5"/>
      </bottom>
      <diagonal/>
    </border>
    <border>
      <left/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4" fillId="0" borderId="0" applyFont="0" applyFill="0" applyBorder="0" applyAlignment="0" applyProtection="0">
      <alignment vertical="center"/>
    </xf>
    <xf numFmtId="44" fontId="34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2" fontId="34" fillId="0" borderId="0" applyFon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4" fillId="24" borderId="8" applyNumberFormat="0" applyFon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9" applyNumberFormat="0" applyFill="0" applyAlignment="0" applyProtection="0">
      <alignment vertical="center"/>
    </xf>
    <xf numFmtId="0" fontId="41" fillId="0" borderId="9" applyNumberFormat="0" applyFill="0" applyAlignment="0" applyProtection="0">
      <alignment vertical="center"/>
    </xf>
    <xf numFmtId="0" fontId="42" fillId="0" borderId="10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25" borderId="11" applyNumberFormat="0" applyAlignment="0" applyProtection="0">
      <alignment vertical="center"/>
    </xf>
    <xf numFmtId="0" fontId="44" fillId="26" borderId="12" applyNumberFormat="0" applyAlignment="0" applyProtection="0">
      <alignment vertical="center"/>
    </xf>
    <xf numFmtId="0" fontId="45" fillId="26" borderId="11" applyNumberFormat="0" applyAlignment="0" applyProtection="0">
      <alignment vertical="center"/>
    </xf>
    <xf numFmtId="0" fontId="46" fillId="27" borderId="13" applyNumberFormat="0" applyAlignment="0" applyProtection="0">
      <alignment vertical="center"/>
    </xf>
    <xf numFmtId="0" fontId="47" fillId="0" borderId="14" applyNumberFormat="0" applyFill="0" applyAlignment="0" applyProtection="0">
      <alignment vertical="center"/>
    </xf>
    <xf numFmtId="0" fontId="48" fillId="0" borderId="15" applyNumberFormat="0" applyFill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3" fillId="33" borderId="0" applyNumberFormat="0" applyBorder="0" applyAlignment="0" applyProtection="0">
      <alignment vertical="center"/>
    </xf>
    <xf numFmtId="0" fontId="52" fillId="34" borderId="0" applyNumberFormat="0" applyBorder="0" applyAlignment="0" applyProtection="0">
      <alignment vertical="center"/>
    </xf>
    <xf numFmtId="0" fontId="52" fillId="35" borderId="0" applyNumberFormat="0" applyBorder="0" applyAlignment="0" applyProtection="0">
      <alignment vertical="center"/>
    </xf>
    <xf numFmtId="0" fontId="53" fillId="36" borderId="0" applyNumberFormat="0" applyBorder="0" applyAlignment="0" applyProtection="0">
      <alignment vertical="center"/>
    </xf>
    <xf numFmtId="0" fontId="53" fillId="37" borderId="0" applyNumberFormat="0" applyBorder="0" applyAlignment="0" applyProtection="0">
      <alignment vertical="center"/>
    </xf>
    <xf numFmtId="0" fontId="52" fillId="38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3" fillId="40" borderId="0" applyNumberFormat="0" applyBorder="0" applyAlignment="0" applyProtection="0">
      <alignment vertical="center"/>
    </xf>
    <xf numFmtId="0" fontId="53" fillId="41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5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3" fillId="48" borderId="0" applyNumberFormat="0" applyBorder="0" applyAlignment="0" applyProtection="0">
      <alignment vertical="center"/>
    </xf>
    <xf numFmtId="0" fontId="53" fillId="49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3" fillId="52" borderId="0" applyNumberFormat="0" applyBorder="0" applyAlignment="0" applyProtection="0">
      <alignment vertical="center"/>
    </xf>
    <xf numFmtId="0" fontId="53" fillId="53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</cellStyleXfs>
  <cellXfs count="6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left" vertical="center"/>
    </xf>
    <xf numFmtId="0" fontId="5" fillId="8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left" vertical="center"/>
    </xf>
    <xf numFmtId="0" fontId="8" fillId="11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/>
    </xf>
    <xf numFmtId="0" fontId="9" fillId="12" borderId="3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0" fillId="13" borderId="0" xfId="0" applyFill="1"/>
    <xf numFmtId="0" fontId="11" fillId="4" borderId="0" xfId="0" applyFont="1" applyFill="1" applyAlignment="1">
      <alignment horizontal="center" vertical="center"/>
    </xf>
    <xf numFmtId="0" fontId="12" fillId="14" borderId="2" xfId="0" applyFont="1" applyFill="1" applyBorder="1" applyAlignment="1">
      <alignment horizontal="center" vertical="center"/>
    </xf>
    <xf numFmtId="0" fontId="13" fillId="13" borderId="2" xfId="0" applyFont="1" applyFill="1" applyBorder="1" applyAlignment="1">
      <alignment horizontal="center" vertical="center"/>
    </xf>
    <xf numFmtId="0" fontId="14" fillId="15" borderId="2" xfId="0" applyFont="1" applyFill="1" applyBorder="1" applyAlignment="1">
      <alignment horizontal="center" vertical="center"/>
    </xf>
    <xf numFmtId="0" fontId="15" fillId="8" borderId="2" xfId="0" applyFont="1" applyFill="1" applyBorder="1" applyAlignment="1">
      <alignment horizontal="left" vertical="center"/>
    </xf>
    <xf numFmtId="0" fontId="15" fillId="8" borderId="2" xfId="0" applyFont="1" applyFill="1" applyBorder="1" applyAlignment="1">
      <alignment horizontal="center" vertical="center"/>
    </xf>
    <xf numFmtId="0" fontId="16" fillId="13" borderId="4" xfId="0" applyFont="1" applyFill="1" applyBorder="1" applyAlignment="1">
      <alignment horizontal="center" vertical="center"/>
    </xf>
    <xf numFmtId="0" fontId="17" fillId="9" borderId="2" xfId="0" applyFont="1" applyFill="1" applyBorder="1" applyAlignment="1">
      <alignment horizontal="left" vertical="center"/>
    </xf>
    <xf numFmtId="0" fontId="17" fillId="9" borderId="2" xfId="0" applyFont="1" applyFill="1" applyBorder="1" applyAlignment="1">
      <alignment horizontal="center" vertical="center"/>
    </xf>
    <xf numFmtId="0" fontId="18" fillId="11" borderId="2" xfId="0" applyFont="1" applyFill="1" applyBorder="1" applyAlignment="1">
      <alignment horizontal="left" vertical="center"/>
    </xf>
    <xf numFmtId="0" fontId="18" fillId="11" borderId="2" xfId="0" applyFont="1" applyFill="1" applyBorder="1" applyAlignment="1">
      <alignment horizontal="center" vertical="center"/>
    </xf>
    <xf numFmtId="0" fontId="19" fillId="16" borderId="2" xfId="0" applyFont="1" applyFill="1" applyBorder="1" applyAlignment="1">
      <alignment horizontal="left" vertical="center"/>
    </xf>
    <xf numFmtId="0" fontId="19" fillId="16" borderId="2" xfId="0" applyFont="1" applyFill="1" applyBorder="1" applyAlignment="1">
      <alignment horizontal="center" vertical="center"/>
    </xf>
    <xf numFmtId="0" fontId="20" fillId="16" borderId="2" xfId="0" applyFont="1" applyFill="1" applyBorder="1" applyAlignment="1">
      <alignment horizontal="left" vertical="center"/>
    </xf>
    <xf numFmtId="0" fontId="20" fillId="16" borderId="2" xfId="0" applyFont="1" applyFill="1" applyBorder="1" applyAlignment="1">
      <alignment horizontal="center" vertical="center"/>
    </xf>
    <xf numFmtId="0" fontId="21" fillId="16" borderId="2" xfId="0" applyFont="1" applyFill="1" applyBorder="1" applyAlignment="1">
      <alignment horizontal="center" vertical="center"/>
    </xf>
    <xf numFmtId="0" fontId="22" fillId="4" borderId="0" xfId="0" applyFont="1" applyFill="1" applyAlignment="1">
      <alignment horizontal="center" vertical="center"/>
    </xf>
    <xf numFmtId="0" fontId="23" fillId="9" borderId="0" xfId="0" applyFont="1" applyFill="1" applyAlignment="1">
      <alignment horizontal="center" vertical="center"/>
    </xf>
    <xf numFmtId="0" fontId="3" fillId="15" borderId="2" xfId="0" applyFont="1" applyFill="1" applyBorder="1" applyAlignment="1">
      <alignment horizontal="center" vertical="center"/>
    </xf>
    <xf numFmtId="176" fontId="4" fillId="7" borderId="2" xfId="0" applyNumberFormat="1" applyFont="1" applyFill="1" applyBorder="1" applyAlignment="1">
      <alignment horizontal="right" vertical="center"/>
    </xf>
    <xf numFmtId="176" fontId="4" fillId="10" borderId="2" xfId="0" applyNumberFormat="1" applyFont="1" applyFill="1" applyBorder="1" applyAlignment="1">
      <alignment horizontal="right" vertical="center"/>
    </xf>
    <xf numFmtId="0" fontId="24" fillId="11" borderId="2" xfId="0" applyFont="1" applyFill="1" applyBorder="1" applyAlignment="1">
      <alignment horizontal="center" vertical="center"/>
    </xf>
    <xf numFmtId="176" fontId="3" fillId="2" borderId="2" xfId="0" applyNumberFormat="1" applyFont="1" applyFill="1" applyBorder="1" applyAlignment="1">
      <alignment horizontal="right" vertical="center"/>
    </xf>
    <xf numFmtId="0" fontId="25" fillId="2" borderId="2" xfId="0" applyFont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22" fillId="17" borderId="0" xfId="0" applyFont="1" applyFill="1" applyAlignment="1">
      <alignment horizontal="center" vertical="center"/>
    </xf>
    <xf numFmtId="0" fontId="26" fillId="18" borderId="0" xfId="0" applyFont="1" applyFill="1" applyAlignment="1">
      <alignment horizontal="center" vertical="center"/>
    </xf>
    <xf numFmtId="0" fontId="27" fillId="7" borderId="2" xfId="0" applyFont="1" applyFill="1" applyBorder="1" applyAlignment="1">
      <alignment horizontal="center" vertical="center" wrapText="1"/>
    </xf>
    <xf numFmtId="0" fontId="27" fillId="7" borderId="2" xfId="0" applyFont="1" applyFill="1" applyBorder="1" applyAlignment="1">
      <alignment horizontal="left" vertical="center" wrapText="1"/>
    </xf>
    <xf numFmtId="0" fontId="27" fillId="10" borderId="2" xfId="0" applyFont="1" applyFill="1" applyBorder="1" applyAlignment="1">
      <alignment horizontal="center" vertical="center" wrapText="1"/>
    </xf>
    <xf numFmtId="0" fontId="27" fillId="10" borderId="2" xfId="0" applyFont="1" applyFill="1" applyBorder="1" applyAlignment="1">
      <alignment horizontal="left" vertical="center" wrapText="1"/>
    </xf>
    <xf numFmtId="0" fontId="22" fillId="3" borderId="0" xfId="0" applyFont="1" applyFill="1" applyAlignment="1">
      <alignment horizontal="center" vertical="center"/>
    </xf>
    <xf numFmtId="0" fontId="28" fillId="19" borderId="0" xfId="0" applyFont="1" applyFill="1" applyAlignment="1">
      <alignment horizontal="center" vertical="center" wrapText="1"/>
    </xf>
    <xf numFmtId="0" fontId="29" fillId="20" borderId="2" xfId="0" applyFont="1" applyFill="1" applyBorder="1" applyAlignment="1">
      <alignment horizontal="center" vertical="center"/>
    </xf>
    <xf numFmtId="0" fontId="30" fillId="21" borderId="2" xfId="0" applyFont="1" applyFill="1" applyBorder="1" applyAlignment="1">
      <alignment horizontal="left" vertical="center" wrapText="1"/>
    </xf>
    <xf numFmtId="0" fontId="31" fillId="8" borderId="2" xfId="0" applyFont="1" applyFill="1" applyBorder="1" applyAlignment="1">
      <alignment horizontal="left" vertical="center" wrapText="1"/>
    </xf>
    <xf numFmtId="0" fontId="32" fillId="22" borderId="7" xfId="0" applyFont="1" applyFill="1" applyBorder="1" applyAlignment="1">
      <alignment horizontal="left" vertical="center" wrapText="1"/>
    </xf>
    <xf numFmtId="0" fontId="30" fillId="8" borderId="2" xfId="0" applyFont="1" applyFill="1" applyBorder="1" applyAlignment="1">
      <alignment horizontal="left" vertical="center" wrapText="1"/>
    </xf>
    <xf numFmtId="0" fontId="20" fillId="10" borderId="7" xfId="0" applyFont="1" applyFill="1" applyBorder="1" applyAlignment="1">
      <alignment horizontal="left" vertical="center" wrapText="1"/>
    </xf>
    <xf numFmtId="0" fontId="33" fillId="23" borderId="0" xfId="0" applyFont="1" applyFill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CleanData" displayName="CleanData" ref="A3:H21">
  <autoFilter xmlns:etc="http://www.wps.cn/officeDocument/2017/etCustomData" ref="A3:H21" etc:filterBottomFollowUsedRange="0"/>
  <tableColumns count="8">
    <tableColumn id="1" name="Cust ID"/>
    <tableColumn id="2" name="Full Name"/>
    <tableColumn id="3" name="Phone"/>
    <tableColumn id="4" name="Email"/>
    <tableColumn id="5" name="Purchase Amount"/>
    <tableColumn id="6" name="Purchase Date"/>
    <tableColumn id="7" name="Status"/>
    <tableColumn id="8" name="Data Quality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workbookViewId="0">
      <pane ySplit="3" topLeftCell="A4" activePane="bottomLeft" state="frozen"/>
      <selection/>
      <selection pane="bottomLeft" activeCell="G3" sqref="G3"/>
    </sheetView>
  </sheetViews>
  <sheetFormatPr defaultColWidth="9" defaultRowHeight="15" outlineLevelCol="6"/>
  <cols>
    <col min="1" max="1" width="28" customWidth="1"/>
    <col min="2" max="2" width="20" customWidth="1"/>
    <col min="3" max="3" width="32" customWidth="1"/>
    <col min="4" max="4" width="14" customWidth="1"/>
    <col min="5" max="5" width="18" customWidth="1"/>
    <col min="6" max="6" width="34" customWidth="1"/>
    <col min="7" max="7" width="42" customWidth="1"/>
  </cols>
  <sheetData>
    <row r="1" ht="34" customHeight="1" spans="1:7">
      <c r="A1" s="51" t="s">
        <v>0</v>
      </c>
    </row>
    <row r="2" ht="20" customHeight="1" spans="1:7">
      <c r="A2" s="52" t="s">
        <v>1</v>
      </c>
    </row>
    <row r="3" ht="24" customHeight="1" spans="1:7">
      <c r="A3" s="53" t="s">
        <v>2</v>
      </c>
      <c r="B3" s="53" t="s">
        <v>3</v>
      </c>
      <c r="C3" s="53" t="s">
        <v>4</v>
      </c>
      <c r="D3" s="53" t="s">
        <v>5</v>
      </c>
      <c r="E3" s="53" t="s">
        <v>6</v>
      </c>
      <c r="F3" s="53" t="s">
        <v>7</v>
      </c>
    </row>
    <row r="4" ht="18" customHeight="1" spans="1:7">
      <c r="A4" s="54" t="s">
        <v>8</v>
      </c>
      <c r="B4" s="55" t="s">
        <v>9</v>
      </c>
      <c r="C4" s="54" t="s">
        <v>10</v>
      </c>
      <c r="D4" s="54" t="s">
        <v>11</v>
      </c>
      <c r="E4" s="54" t="s">
        <v>12</v>
      </c>
      <c r="F4" s="54" t="s">
        <v>13</v>
      </c>
      <c r="G4" s="56" t="s">
        <v>14</v>
      </c>
    </row>
    <row r="5" ht="18" customHeight="1" spans="1:7">
      <c r="A5" s="55" t="s">
        <v>15</v>
      </c>
      <c r="B5" s="54" t="s">
        <v>16</v>
      </c>
      <c r="C5" s="55" t="s">
        <v>17</v>
      </c>
      <c r="D5" s="55" t="s">
        <v>18</v>
      </c>
      <c r="E5" s="54" t="s">
        <v>19</v>
      </c>
      <c r="F5" s="54" t="s">
        <v>20</v>
      </c>
      <c r="G5" s="56" t="s">
        <v>21</v>
      </c>
    </row>
    <row r="6" ht="18" customHeight="1" spans="1:7">
      <c r="A6" s="57" t="s">
        <v>22</v>
      </c>
      <c r="B6" s="57" t="s">
        <v>23</v>
      </c>
      <c r="C6" s="55" t="s">
        <v>24</v>
      </c>
      <c r="D6" s="57" t="s">
        <v>25</v>
      </c>
      <c r="E6" s="55" t="s">
        <v>26</v>
      </c>
      <c r="F6" s="57" t="s">
        <v>27</v>
      </c>
      <c r="G6" s="56" t="s">
        <v>28</v>
      </c>
    </row>
    <row r="7" ht="18" customHeight="1" spans="1:7">
      <c r="A7" s="55" t="s">
        <v>27</v>
      </c>
      <c r="B7" s="57" t="s">
        <v>29</v>
      </c>
      <c r="C7" s="57" t="s">
        <v>30</v>
      </c>
      <c r="D7" s="57" t="s">
        <v>31</v>
      </c>
      <c r="E7" s="57" t="s">
        <v>32</v>
      </c>
      <c r="F7" s="57" t="s">
        <v>33</v>
      </c>
      <c r="G7" s="56" t="s">
        <v>34</v>
      </c>
    </row>
    <row r="8" ht="18" customHeight="1" spans="1:7">
      <c r="A8" s="55" t="s">
        <v>35</v>
      </c>
      <c r="B8" s="57" t="s">
        <v>36</v>
      </c>
      <c r="C8" s="57" t="s">
        <v>37</v>
      </c>
      <c r="D8" s="55" t="s">
        <v>38</v>
      </c>
      <c r="E8" s="57" t="s">
        <v>39</v>
      </c>
      <c r="F8" s="57" t="s">
        <v>40</v>
      </c>
      <c r="G8" s="56" t="s">
        <v>41</v>
      </c>
    </row>
    <row r="9" ht="18" customHeight="1" spans="1:7">
      <c r="A9" s="57" t="s">
        <v>42</v>
      </c>
      <c r="B9" s="55" t="s">
        <v>43</v>
      </c>
      <c r="C9" s="57" t="s">
        <v>44</v>
      </c>
      <c r="D9" s="57" t="s">
        <v>45</v>
      </c>
      <c r="E9" s="57" t="s">
        <v>46</v>
      </c>
      <c r="F9" s="57" t="s">
        <v>47</v>
      </c>
      <c r="G9" s="56" t="s">
        <v>48</v>
      </c>
    </row>
    <row r="10" ht="18" customHeight="1" spans="1:7">
      <c r="A10" s="55" t="s">
        <v>49</v>
      </c>
      <c r="B10" s="55" t="s">
        <v>9</v>
      </c>
      <c r="C10" s="57" t="s">
        <v>10</v>
      </c>
      <c r="D10" s="57" t="s">
        <v>11</v>
      </c>
      <c r="E10" s="57" t="s">
        <v>12</v>
      </c>
      <c r="F10" s="55" t="s">
        <v>50</v>
      </c>
      <c r="G10" s="56" t="s">
        <v>51</v>
      </c>
    </row>
    <row r="11" ht="18" customHeight="1" spans="1:7">
      <c r="A11" s="57" t="s">
        <v>52</v>
      </c>
      <c r="B11" s="57" t="s">
        <v>53</v>
      </c>
      <c r="C11" s="55" t="s">
        <v>54</v>
      </c>
      <c r="D11" s="57" t="s">
        <v>55</v>
      </c>
      <c r="E11" s="57" t="s">
        <v>56</v>
      </c>
      <c r="F11" s="57" t="s">
        <v>57</v>
      </c>
      <c r="G11" s="56" t="s">
        <v>58</v>
      </c>
    </row>
    <row r="12" ht="18" customHeight="1" spans="1:7">
      <c r="A12" s="57" t="s">
        <v>59</v>
      </c>
      <c r="B12" s="57" t="s">
        <v>60</v>
      </c>
      <c r="C12" s="57" t="s">
        <v>61</v>
      </c>
      <c r="D12" s="57" t="s">
        <v>62</v>
      </c>
      <c r="E12" s="55" t="s">
        <v>63</v>
      </c>
      <c r="F12" s="57" t="s">
        <v>27</v>
      </c>
      <c r="G12" s="56" t="s">
        <v>64</v>
      </c>
    </row>
    <row r="13" ht="18" customHeight="1" spans="1:7">
      <c r="A13" s="54" t="s">
        <v>65</v>
      </c>
      <c r="B13" s="54" t="s">
        <v>66</v>
      </c>
      <c r="C13" s="54" t="s">
        <v>67</v>
      </c>
      <c r="D13" s="55" t="s">
        <v>68</v>
      </c>
      <c r="E13" s="54" t="s">
        <v>69</v>
      </c>
      <c r="F13" s="54" t="s">
        <v>13</v>
      </c>
      <c r="G13" s="58" t="s">
        <v>27</v>
      </c>
    </row>
    <row r="14" ht="18" customHeight="1" spans="1:7">
      <c r="A14" s="55" t="s">
        <v>70</v>
      </c>
      <c r="B14" s="55" t="s">
        <v>71</v>
      </c>
      <c r="C14" s="57" t="s">
        <v>72</v>
      </c>
      <c r="D14" s="57" t="s">
        <v>73</v>
      </c>
      <c r="E14" s="57" t="s">
        <v>74</v>
      </c>
      <c r="F14" s="57" t="s">
        <v>75</v>
      </c>
      <c r="G14" s="56" t="s">
        <v>76</v>
      </c>
    </row>
    <row r="15" ht="18" customHeight="1" spans="1:7">
      <c r="A15" s="55" t="s">
        <v>77</v>
      </c>
      <c r="B15" s="57" t="s">
        <v>78</v>
      </c>
      <c r="C15" s="57" t="s">
        <v>79</v>
      </c>
      <c r="D15" s="55" t="s">
        <v>80</v>
      </c>
      <c r="E15" s="57" t="s">
        <v>81</v>
      </c>
      <c r="F15" s="57" t="s">
        <v>27</v>
      </c>
      <c r="G15" s="56" t="s">
        <v>82</v>
      </c>
    </row>
    <row r="16" ht="18" customHeight="1" spans="1:7">
      <c r="A16" s="55" t="s">
        <v>83</v>
      </c>
      <c r="B16" s="57" t="s">
        <v>84</v>
      </c>
      <c r="C16" s="57" t="s">
        <v>85</v>
      </c>
      <c r="D16" s="57" t="s">
        <v>86</v>
      </c>
      <c r="E16" s="57" t="s">
        <v>87</v>
      </c>
      <c r="F16" s="57" t="s">
        <v>88</v>
      </c>
      <c r="G16" s="56" t="s">
        <v>89</v>
      </c>
    </row>
    <row r="17" ht="18" customHeight="1" spans="1:7">
      <c r="A17" s="57" t="s">
        <v>90</v>
      </c>
      <c r="B17" s="55" t="s">
        <v>91</v>
      </c>
      <c r="C17" s="57" t="s">
        <v>92</v>
      </c>
      <c r="D17" s="57" t="s">
        <v>93</v>
      </c>
      <c r="E17" s="57" t="s">
        <v>94</v>
      </c>
      <c r="F17" s="57" t="s">
        <v>95</v>
      </c>
      <c r="G17" s="56" t="s">
        <v>96</v>
      </c>
    </row>
    <row r="18" ht="18" customHeight="1" spans="1:7">
      <c r="A18" s="57" t="s">
        <v>97</v>
      </c>
      <c r="B18" s="57" t="s">
        <v>98</v>
      </c>
      <c r="C18" s="55" t="s">
        <v>99</v>
      </c>
      <c r="D18" s="57" t="s">
        <v>100</v>
      </c>
      <c r="E18" s="57" t="s">
        <v>101</v>
      </c>
      <c r="F18" s="57" t="s">
        <v>102</v>
      </c>
      <c r="G18" s="56" t="s">
        <v>103</v>
      </c>
    </row>
    <row r="19" ht="18" customHeight="1" spans="1:7">
      <c r="A19" s="57" t="s">
        <v>104</v>
      </c>
      <c r="B19" s="57" t="s">
        <v>105</v>
      </c>
      <c r="C19" s="57" t="s">
        <v>106</v>
      </c>
      <c r="D19" s="57" t="s">
        <v>107</v>
      </c>
      <c r="E19" s="57" t="s">
        <v>108</v>
      </c>
      <c r="F19" s="57" t="s">
        <v>13</v>
      </c>
      <c r="G19" s="58" t="s">
        <v>27</v>
      </c>
    </row>
    <row r="20" ht="18" customHeight="1" spans="1:7">
      <c r="A20" s="55" t="s">
        <v>27</v>
      </c>
      <c r="B20" s="55" t="s">
        <v>27</v>
      </c>
      <c r="C20" s="55" t="s">
        <v>27</v>
      </c>
      <c r="D20" s="55" t="s">
        <v>27</v>
      </c>
      <c r="E20" s="57" t="s">
        <v>27</v>
      </c>
      <c r="F20" s="57" t="s">
        <v>109</v>
      </c>
      <c r="G20" s="56" t="s">
        <v>110</v>
      </c>
    </row>
    <row r="21" ht="18" customHeight="1" spans="1:7">
      <c r="A21" s="57" t="s">
        <v>111</v>
      </c>
      <c r="B21" s="57" t="s">
        <v>112</v>
      </c>
      <c r="C21" s="57" t="s">
        <v>113</v>
      </c>
      <c r="D21" s="55" t="s">
        <v>114</v>
      </c>
      <c r="E21" s="57" t="s">
        <v>115</v>
      </c>
      <c r="F21" s="57" t="s">
        <v>116</v>
      </c>
      <c r="G21" s="56" t="s">
        <v>117</v>
      </c>
    </row>
    <row r="22" ht="18" customHeight="1" spans="1:7">
      <c r="A22" s="57" t="s">
        <v>118</v>
      </c>
      <c r="B22" s="57" t="s">
        <v>119</v>
      </c>
      <c r="C22" s="57" t="s">
        <v>120</v>
      </c>
      <c r="D22" s="57" t="s">
        <v>121</v>
      </c>
      <c r="E22" s="57" t="s">
        <v>122</v>
      </c>
      <c r="F22" s="57" t="s">
        <v>27</v>
      </c>
      <c r="G22" s="56" t="s">
        <v>123</v>
      </c>
    </row>
    <row r="23" ht="18" customHeight="1" spans="1:7">
      <c r="A23" s="54" t="s">
        <v>124</v>
      </c>
      <c r="B23" s="54" t="s">
        <v>125</v>
      </c>
      <c r="C23" s="54" t="s">
        <v>126</v>
      </c>
      <c r="D23" s="55" t="s">
        <v>127</v>
      </c>
      <c r="E23" s="54" t="s">
        <v>128</v>
      </c>
      <c r="F23" s="54" t="s">
        <v>33</v>
      </c>
      <c r="G23" s="58" t="s">
        <v>27</v>
      </c>
    </row>
    <row r="24" ht="28" customHeight="1" spans="1:7">
      <c r="A24" s="59" t="s">
        <v>129</v>
      </c>
    </row>
  </sheetData>
  <mergeCells count="3">
    <mergeCell ref="A1:F1"/>
    <mergeCell ref="A2:F2"/>
    <mergeCell ref="A24:G2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workbookViewId="0">
      <pane ySplit="3" topLeftCell="A4" activePane="bottomLeft" state="frozen"/>
      <selection/>
      <selection pane="bottomLeft" activeCell="A1" sqref="A1:F1"/>
    </sheetView>
  </sheetViews>
  <sheetFormatPr defaultColWidth="9" defaultRowHeight="15" outlineLevelCol="5"/>
  <cols>
    <col min="1" max="1" width="8" customWidth="1"/>
    <col min="2" max="2" width="18" customWidth="1"/>
    <col min="3" max="3" width="22" customWidth="1"/>
    <col min="4" max="4" width="28" customWidth="1"/>
    <col min="5" max="5" width="36" customWidth="1"/>
    <col min="6" max="6" width="30" customWidth="1"/>
  </cols>
  <sheetData>
    <row r="1" ht="34" customHeight="1" spans="1:6">
      <c r="A1" s="45" t="s">
        <v>130</v>
      </c>
    </row>
    <row r="2" ht="20" customHeight="1" spans="1:6">
      <c r="A2" s="46" t="s">
        <v>131</v>
      </c>
    </row>
    <row r="3" ht="28" customHeight="1" spans="1:6">
      <c r="A3" s="6" t="s">
        <v>132</v>
      </c>
      <c r="B3" s="6" t="s">
        <v>133</v>
      </c>
      <c r="C3" s="6" t="s">
        <v>134</v>
      </c>
      <c r="D3" s="6" t="s">
        <v>135</v>
      </c>
      <c r="E3" s="6" t="s">
        <v>136</v>
      </c>
      <c r="F3" s="6" t="s">
        <v>137</v>
      </c>
    </row>
    <row r="4" ht="38" customHeight="1" spans="1:6">
      <c r="A4" s="47" t="s">
        <v>138</v>
      </c>
      <c r="B4" s="48" t="s">
        <v>139</v>
      </c>
      <c r="C4" s="48" t="s">
        <v>140</v>
      </c>
      <c r="D4" s="48" t="s">
        <v>141</v>
      </c>
      <c r="E4" s="48" t="s">
        <v>142</v>
      </c>
      <c r="F4" s="48" t="s">
        <v>143</v>
      </c>
    </row>
    <row r="5" ht="38" customHeight="1" spans="1:6">
      <c r="A5" s="49" t="s">
        <v>144</v>
      </c>
      <c r="B5" s="50" t="s">
        <v>139</v>
      </c>
      <c r="C5" s="50" t="s">
        <v>145</v>
      </c>
      <c r="D5" s="50" t="s">
        <v>146</v>
      </c>
      <c r="E5" s="50" t="s">
        <v>147</v>
      </c>
      <c r="F5" s="50" t="s">
        <v>148</v>
      </c>
    </row>
    <row r="6" ht="38" customHeight="1" spans="1:6">
      <c r="A6" s="47" t="s">
        <v>149</v>
      </c>
      <c r="B6" s="48" t="s">
        <v>139</v>
      </c>
      <c r="C6" s="48" t="s">
        <v>150</v>
      </c>
      <c r="D6" s="48" t="s">
        <v>151</v>
      </c>
      <c r="E6" s="48" t="s">
        <v>152</v>
      </c>
      <c r="F6" s="48" t="s">
        <v>153</v>
      </c>
    </row>
    <row r="7" ht="38" customHeight="1" spans="1:6">
      <c r="A7" s="49" t="s">
        <v>154</v>
      </c>
      <c r="B7" s="50" t="s">
        <v>139</v>
      </c>
      <c r="C7" s="50" t="s">
        <v>155</v>
      </c>
      <c r="D7" s="50" t="s">
        <v>156</v>
      </c>
      <c r="E7" s="50" t="s">
        <v>157</v>
      </c>
      <c r="F7" s="50" t="s">
        <v>158</v>
      </c>
    </row>
    <row r="8" ht="38" customHeight="1" spans="1:6">
      <c r="A8" s="47" t="s">
        <v>159</v>
      </c>
      <c r="B8" s="48" t="s">
        <v>160</v>
      </c>
      <c r="C8" s="48" t="s">
        <v>161</v>
      </c>
      <c r="D8" s="48" t="s">
        <v>162</v>
      </c>
      <c r="E8" s="48" t="s">
        <v>163</v>
      </c>
      <c r="F8" s="48" t="s">
        <v>164</v>
      </c>
    </row>
    <row r="9" ht="38" customHeight="1" spans="1:6">
      <c r="A9" s="49" t="s">
        <v>165</v>
      </c>
      <c r="B9" s="50" t="s">
        <v>160</v>
      </c>
      <c r="C9" s="50" t="s">
        <v>166</v>
      </c>
      <c r="D9" s="50" t="s">
        <v>91</v>
      </c>
      <c r="E9" s="50" t="s">
        <v>167</v>
      </c>
      <c r="F9" s="50" t="s">
        <v>168</v>
      </c>
    </row>
    <row r="10" ht="38" customHeight="1" spans="1:6">
      <c r="A10" s="47" t="s">
        <v>169</v>
      </c>
      <c r="B10" s="48" t="s">
        <v>170</v>
      </c>
      <c r="C10" s="48" t="s">
        <v>171</v>
      </c>
      <c r="D10" s="48" t="s">
        <v>17</v>
      </c>
      <c r="E10" s="48" t="s">
        <v>172</v>
      </c>
      <c r="F10" s="48" t="s">
        <v>173</v>
      </c>
    </row>
    <row r="11" ht="38" customHeight="1" spans="1:6">
      <c r="A11" s="49" t="s">
        <v>174</v>
      </c>
      <c r="B11" s="50" t="s">
        <v>170</v>
      </c>
      <c r="C11" s="50" t="s">
        <v>175</v>
      </c>
      <c r="D11" s="50" t="s">
        <v>176</v>
      </c>
      <c r="E11" s="50" t="s">
        <v>177</v>
      </c>
      <c r="F11" s="50" t="s">
        <v>178</v>
      </c>
    </row>
    <row r="12" ht="38" customHeight="1" spans="1:6">
      <c r="A12" s="47" t="s">
        <v>179</v>
      </c>
      <c r="B12" s="48" t="s">
        <v>180</v>
      </c>
      <c r="C12" s="48" t="s">
        <v>181</v>
      </c>
      <c r="D12" s="48" t="s">
        <v>182</v>
      </c>
      <c r="E12" s="48" t="s">
        <v>183</v>
      </c>
      <c r="F12" s="48" t="s">
        <v>184</v>
      </c>
    </row>
    <row r="13" ht="38" customHeight="1" spans="1:6">
      <c r="A13" s="49" t="s">
        <v>185</v>
      </c>
      <c r="B13" s="50" t="s">
        <v>180</v>
      </c>
      <c r="C13" s="50" t="s">
        <v>186</v>
      </c>
      <c r="D13" s="50" t="s">
        <v>187</v>
      </c>
      <c r="E13" s="50" t="s">
        <v>188</v>
      </c>
      <c r="F13" s="50" t="s">
        <v>189</v>
      </c>
    </row>
    <row r="14" ht="38" customHeight="1" spans="1:6">
      <c r="A14" s="47" t="s">
        <v>190</v>
      </c>
      <c r="B14" s="48" t="s">
        <v>191</v>
      </c>
      <c r="C14" s="48" t="s">
        <v>192</v>
      </c>
      <c r="D14" s="48" t="s">
        <v>193</v>
      </c>
      <c r="E14" s="48" t="s">
        <v>194</v>
      </c>
      <c r="F14" s="48" t="s">
        <v>195</v>
      </c>
    </row>
    <row r="15" ht="38" customHeight="1" spans="1:6">
      <c r="A15" s="49" t="s">
        <v>196</v>
      </c>
      <c r="B15" s="50" t="s">
        <v>191</v>
      </c>
      <c r="C15" s="50" t="s">
        <v>197</v>
      </c>
      <c r="D15" s="50" t="s">
        <v>198</v>
      </c>
      <c r="E15" s="50" t="s">
        <v>199</v>
      </c>
      <c r="F15" s="50" t="s">
        <v>200</v>
      </c>
    </row>
    <row r="16" ht="38" customHeight="1" spans="1:6">
      <c r="A16" s="47" t="s">
        <v>201</v>
      </c>
      <c r="B16" s="48" t="s">
        <v>191</v>
      </c>
      <c r="C16" s="48" t="s">
        <v>202</v>
      </c>
      <c r="D16" s="48" t="s">
        <v>101</v>
      </c>
      <c r="E16" s="48" t="s">
        <v>203</v>
      </c>
      <c r="F16" s="48" t="s">
        <v>204</v>
      </c>
    </row>
    <row r="17" ht="38" customHeight="1" spans="1:6">
      <c r="A17" s="49" t="s">
        <v>205</v>
      </c>
      <c r="B17" s="50" t="s">
        <v>206</v>
      </c>
      <c r="C17" s="50" t="s">
        <v>207</v>
      </c>
      <c r="D17" s="50" t="s">
        <v>208</v>
      </c>
      <c r="E17" s="50" t="s">
        <v>209</v>
      </c>
      <c r="F17" s="50" t="s">
        <v>210</v>
      </c>
    </row>
    <row r="18" ht="38" customHeight="1" spans="1:6">
      <c r="A18" s="47" t="s">
        <v>211</v>
      </c>
      <c r="B18" s="48" t="s">
        <v>212</v>
      </c>
      <c r="C18" s="48" t="s">
        <v>213</v>
      </c>
      <c r="D18" s="48" t="s">
        <v>214</v>
      </c>
      <c r="E18" s="48" t="s">
        <v>215</v>
      </c>
      <c r="F18" s="48" t="s">
        <v>216</v>
      </c>
    </row>
  </sheetData>
  <mergeCells count="2">
    <mergeCell ref="A1:F1"/>
    <mergeCell ref="A2:F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workbookViewId="0">
      <pane ySplit="3" topLeftCell="A4" activePane="bottomLeft" state="frozen"/>
      <selection/>
      <selection pane="bottomLeft" activeCell="A1" sqref="A1:H1"/>
    </sheetView>
  </sheetViews>
  <sheetFormatPr defaultColWidth="9" defaultRowHeight="15" outlineLevelCol="7"/>
  <cols>
    <col min="1" max="1" width="10" customWidth="1"/>
    <col min="2" max="2" width="24" customWidth="1"/>
    <col min="3" max="3" width="18" customWidth="1"/>
    <col min="4" max="4" width="32" customWidth="1"/>
    <col min="5" max="6" width="16" customWidth="1"/>
    <col min="7" max="7" width="12" customWidth="1"/>
    <col min="8" max="8" width="16" customWidth="1"/>
  </cols>
  <sheetData>
    <row r="1" ht="34" customHeight="1" spans="1:8">
      <c r="A1" s="35" t="s">
        <v>217</v>
      </c>
    </row>
    <row r="2" ht="20" customHeight="1" spans="1:8">
      <c r="A2" s="36" t="s">
        <v>218</v>
      </c>
    </row>
    <row r="3" ht="28" customHeight="1" spans="1:8">
      <c r="A3" s="37" t="s">
        <v>219</v>
      </c>
      <c r="B3" s="37" t="s">
        <v>220</v>
      </c>
      <c r="C3" s="37" t="s">
        <v>221</v>
      </c>
      <c r="D3" s="37" t="s">
        <v>222</v>
      </c>
      <c r="E3" s="37" t="s">
        <v>180</v>
      </c>
      <c r="F3" s="37" t="s">
        <v>191</v>
      </c>
      <c r="G3" s="37" t="s">
        <v>223</v>
      </c>
      <c r="H3" s="37" t="s">
        <v>224</v>
      </c>
    </row>
    <row r="4" ht="20" customHeight="1" spans="1:8">
      <c r="A4" s="7" t="s">
        <v>225</v>
      </c>
      <c r="B4" s="7" t="s">
        <v>226</v>
      </c>
      <c r="C4" s="7" t="s">
        <v>227</v>
      </c>
      <c r="D4" s="7" t="s">
        <v>10</v>
      </c>
      <c r="E4" s="38">
        <v>1500</v>
      </c>
      <c r="F4" s="7" t="s">
        <v>228</v>
      </c>
      <c r="G4" s="7" t="s">
        <v>13</v>
      </c>
      <c r="H4" s="10" t="s">
        <v>229</v>
      </c>
    </row>
    <row r="5" ht="20" customHeight="1" spans="1:8">
      <c r="A5" s="11" t="s">
        <v>230</v>
      </c>
      <c r="B5" s="11" t="s">
        <v>231</v>
      </c>
      <c r="C5" s="11" t="s">
        <v>232</v>
      </c>
      <c r="D5" s="11" t="s">
        <v>233</v>
      </c>
      <c r="E5" s="39">
        <v>2250</v>
      </c>
      <c r="F5" s="11" t="s">
        <v>19</v>
      </c>
      <c r="G5" s="11" t="s">
        <v>116</v>
      </c>
      <c r="H5" s="10" t="s">
        <v>229</v>
      </c>
    </row>
    <row r="6" ht="20" customHeight="1" spans="1:8">
      <c r="A6" s="7" t="s">
        <v>234</v>
      </c>
      <c r="B6" s="7" t="s">
        <v>22</v>
      </c>
      <c r="C6" s="40" t="s">
        <v>235</v>
      </c>
      <c r="D6" s="40" t="s">
        <v>236</v>
      </c>
      <c r="E6" s="38">
        <v>875.5</v>
      </c>
      <c r="F6" s="7" t="s">
        <v>237</v>
      </c>
      <c r="G6" s="7" t="s">
        <v>238</v>
      </c>
      <c r="H6" s="12" t="s">
        <v>239</v>
      </c>
    </row>
    <row r="7" ht="20" customHeight="1" spans="1:8">
      <c r="A7" s="11" t="s">
        <v>240</v>
      </c>
      <c r="B7" s="11" t="s">
        <v>241</v>
      </c>
      <c r="C7" s="11" t="s">
        <v>242</v>
      </c>
      <c r="D7" s="11" t="s">
        <v>30</v>
      </c>
      <c r="E7" s="39">
        <v>3200</v>
      </c>
      <c r="F7" s="11" t="s">
        <v>243</v>
      </c>
      <c r="G7" s="11" t="s">
        <v>244</v>
      </c>
      <c r="H7" s="12" t="s">
        <v>239</v>
      </c>
    </row>
    <row r="8" ht="20" customHeight="1" spans="1:8">
      <c r="A8" s="7" t="s">
        <v>245</v>
      </c>
      <c r="B8" s="7" t="s">
        <v>246</v>
      </c>
      <c r="C8" s="7" t="s">
        <v>247</v>
      </c>
      <c r="D8" s="7" t="s">
        <v>37</v>
      </c>
      <c r="E8" s="38">
        <v>0</v>
      </c>
      <c r="F8" s="7" t="s">
        <v>248</v>
      </c>
      <c r="G8" s="7" t="s">
        <v>249</v>
      </c>
      <c r="H8" s="10" t="s">
        <v>229</v>
      </c>
    </row>
    <row r="9" ht="20" customHeight="1" spans="1:8">
      <c r="A9" s="11" t="s">
        <v>250</v>
      </c>
      <c r="B9" s="11" t="s">
        <v>251</v>
      </c>
      <c r="C9" s="11" t="s">
        <v>252</v>
      </c>
      <c r="D9" s="11" t="s">
        <v>44</v>
      </c>
      <c r="E9" s="39">
        <v>650</v>
      </c>
      <c r="F9" s="11" t="s">
        <v>253</v>
      </c>
      <c r="G9" s="11" t="s">
        <v>47</v>
      </c>
      <c r="H9" s="10" t="s">
        <v>229</v>
      </c>
    </row>
    <row r="10" ht="20" customHeight="1" spans="1:8">
      <c r="A10" s="7" t="s">
        <v>254</v>
      </c>
      <c r="B10" s="7" t="s">
        <v>52</v>
      </c>
      <c r="C10" s="7" t="s">
        <v>255</v>
      </c>
      <c r="D10" s="40" t="s">
        <v>236</v>
      </c>
      <c r="E10" s="38">
        <v>4100</v>
      </c>
      <c r="F10" s="7" t="s">
        <v>256</v>
      </c>
      <c r="G10" s="7" t="s">
        <v>13</v>
      </c>
      <c r="H10" s="12" t="s">
        <v>239</v>
      </c>
    </row>
    <row r="11" ht="20" customHeight="1" spans="1:8">
      <c r="A11" s="11" t="s">
        <v>257</v>
      </c>
      <c r="B11" s="11" t="s">
        <v>59</v>
      </c>
      <c r="C11" s="11" t="s">
        <v>258</v>
      </c>
      <c r="D11" s="11" t="s">
        <v>61</v>
      </c>
      <c r="E11" s="39">
        <v>200</v>
      </c>
      <c r="F11" s="11" t="s">
        <v>259</v>
      </c>
      <c r="G11" s="11" t="s">
        <v>238</v>
      </c>
      <c r="H11" s="10" t="s">
        <v>229</v>
      </c>
    </row>
    <row r="12" ht="20" customHeight="1" spans="1:8">
      <c r="A12" s="7" t="s">
        <v>260</v>
      </c>
      <c r="B12" s="7" t="s">
        <v>65</v>
      </c>
      <c r="C12" s="7" t="s">
        <v>261</v>
      </c>
      <c r="D12" s="7" t="s">
        <v>67</v>
      </c>
      <c r="E12" s="38">
        <v>1800</v>
      </c>
      <c r="F12" s="7" t="s">
        <v>262</v>
      </c>
      <c r="G12" s="7" t="s">
        <v>13</v>
      </c>
      <c r="H12" s="10" t="s">
        <v>229</v>
      </c>
    </row>
    <row r="13" ht="20" customHeight="1" spans="1:8">
      <c r="A13" s="11" t="s">
        <v>263</v>
      </c>
      <c r="B13" s="11" t="s">
        <v>264</v>
      </c>
      <c r="C13" s="11" t="s">
        <v>265</v>
      </c>
      <c r="D13" s="11" t="s">
        <v>72</v>
      </c>
      <c r="E13" s="39">
        <v>920</v>
      </c>
      <c r="F13" s="11" t="s">
        <v>266</v>
      </c>
      <c r="G13" s="11" t="s">
        <v>116</v>
      </c>
      <c r="H13" s="10" t="s">
        <v>229</v>
      </c>
    </row>
    <row r="14" ht="20" customHeight="1" spans="1:8">
      <c r="A14" s="7" t="s">
        <v>267</v>
      </c>
      <c r="B14" s="7" t="s">
        <v>268</v>
      </c>
      <c r="C14" s="7" t="s">
        <v>269</v>
      </c>
      <c r="D14" s="7" t="s">
        <v>79</v>
      </c>
      <c r="E14" s="38">
        <v>3400</v>
      </c>
      <c r="F14" s="7" t="s">
        <v>270</v>
      </c>
      <c r="G14" s="7" t="s">
        <v>238</v>
      </c>
      <c r="H14" s="10" t="s">
        <v>229</v>
      </c>
    </row>
    <row r="15" ht="20" customHeight="1" spans="1:8">
      <c r="A15" s="11" t="s">
        <v>271</v>
      </c>
      <c r="B15" s="11" t="s">
        <v>241</v>
      </c>
      <c r="C15" s="11" t="s">
        <v>272</v>
      </c>
      <c r="D15" s="11" t="s">
        <v>85</v>
      </c>
      <c r="E15" s="39">
        <v>750</v>
      </c>
      <c r="F15" s="11" t="s">
        <v>273</v>
      </c>
      <c r="G15" s="11" t="s">
        <v>244</v>
      </c>
      <c r="H15" s="12" t="s">
        <v>239</v>
      </c>
    </row>
    <row r="16" ht="20" customHeight="1" spans="1:8">
      <c r="A16" s="7" t="s">
        <v>274</v>
      </c>
      <c r="B16" s="7" t="s">
        <v>90</v>
      </c>
      <c r="C16" s="40" t="s">
        <v>235</v>
      </c>
      <c r="D16" s="7" t="s">
        <v>92</v>
      </c>
      <c r="E16" s="38">
        <v>2900</v>
      </c>
      <c r="F16" s="7" t="s">
        <v>275</v>
      </c>
      <c r="G16" s="7" t="s">
        <v>13</v>
      </c>
      <c r="H16" s="12" t="s">
        <v>239</v>
      </c>
    </row>
    <row r="17" ht="20" customHeight="1" spans="1:8">
      <c r="A17" s="11" t="s">
        <v>276</v>
      </c>
      <c r="B17" s="11" t="s">
        <v>97</v>
      </c>
      <c r="C17" s="11" t="s">
        <v>277</v>
      </c>
      <c r="D17" s="40" t="s">
        <v>236</v>
      </c>
      <c r="E17" s="39">
        <v>1100</v>
      </c>
      <c r="F17" s="11" t="s">
        <v>278</v>
      </c>
      <c r="G17" s="11" t="s">
        <v>47</v>
      </c>
      <c r="H17" s="12" t="s">
        <v>239</v>
      </c>
    </row>
    <row r="18" ht="20" customHeight="1" spans="1:8">
      <c r="A18" s="7" t="s">
        <v>279</v>
      </c>
      <c r="B18" s="7" t="s">
        <v>104</v>
      </c>
      <c r="C18" s="7" t="s">
        <v>280</v>
      </c>
      <c r="D18" s="7" t="s">
        <v>106</v>
      </c>
      <c r="E18" s="38">
        <v>5500</v>
      </c>
      <c r="F18" s="7" t="s">
        <v>281</v>
      </c>
      <c r="G18" s="7" t="s">
        <v>13</v>
      </c>
      <c r="H18" s="10" t="s">
        <v>229</v>
      </c>
    </row>
    <row r="19" ht="20" customHeight="1" spans="1:8">
      <c r="A19" s="11" t="s">
        <v>282</v>
      </c>
      <c r="B19" s="11" t="s">
        <v>283</v>
      </c>
      <c r="C19" s="11" t="s">
        <v>284</v>
      </c>
      <c r="D19" s="11" t="s">
        <v>113</v>
      </c>
      <c r="E19" s="39">
        <v>3750</v>
      </c>
      <c r="F19" s="11" t="s">
        <v>285</v>
      </c>
      <c r="G19" s="11" t="s">
        <v>116</v>
      </c>
      <c r="H19" s="10" t="s">
        <v>229</v>
      </c>
    </row>
    <row r="20" ht="20" customHeight="1" spans="1:8">
      <c r="A20" s="7" t="s">
        <v>286</v>
      </c>
      <c r="B20" s="7" t="s">
        <v>118</v>
      </c>
      <c r="C20" s="7" t="s">
        <v>287</v>
      </c>
      <c r="D20" s="7" t="s">
        <v>120</v>
      </c>
      <c r="E20" s="38">
        <v>680</v>
      </c>
      <c r="F20" s="7" t="s">
        <v>288</v>
      </c>
      <c r="G20" s="7" t="s">
        <v>238</v>
      </c>
      <c r="H20" s="10" t="s">
        <v>229</v>
      </c>
    </row>
    <row r="21" ht="20" customHeight="1" spans="1:8">
      <c r="A21" s="11" t="s">
        <v>289</v>
      </c>
      <c r="B21" s="11" t="s">
        <v>124</v>
      </c>
      <c r="C21" s="11" t="s">
        <v>290</v>
      </c>
      <c r="D21" s="11" t="s">
        <v>126</v>
      </c>
      <c r="E21" s="39">
        <v>2200</v>
      </c>
      <c r="F21" s="11" t="s">
        <v>291</v>
      </c>
      <c r="G21" s="11" t="s">
        <v>244</v>
      </c>
      <c r="H21" s="10" t="s">
        <v>229</v>
      </c>
    </row>
    <row r="22" ht="24" customHeight="1" spans="1:8">
      <c r="A22" s="13" t="s">
        <v>292</v>
      </c>
      <c r="E22" s="41">
        <f>SUM(E4:E21)</f>
        <v>35775.5</v>
      </c>
      <c r="F22" s="42" t="s">
        <v>293</v>
      </c>
      <c r="G22" s="43"/>
      <c r="H22" s="44"/>
    </row>
  </sheetData>
  <mergeCells count="4">
    <mergeCell ref="A1:H1"/>
    <mergeCell ref="A2:H2"/>
    <mergeCell ref="A22:D22"/>
    <mergeCell ref="F22:H22"/>
  </mergeCells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"/>
  <sheetViews>
    <sheetView tabSelected="1" workbookViewId="0">
      <pane ySplit="3" topLeftCell="A4" activePane="bottomLeft" state="frozen"/>
      <selection/>
      <selection pane="bottomLeft" activeCell="A1" sqref="A1:L1"/>
    </sheetView>
  </sheetViews>
  <sheetFormatPr defaultColWidth="9" defaultRowHeight="15"/>
  <cols>
    <col min="1" max="1" width="22" customWidth="1"/>
    <col min="2" max="2" width="18" customWidth="1"/>
    <col min="3" max="3" width="24" customWidth="1"/>
    <col min="4" max="4" width="12" customWidth="1"/>
    <col min="5" max="5" width="16" customWidth="1"/>
    <col min="6" max="6" width="5" customWidth="1"/>
    <col min="7" max="7" width="22" customWidth="1"/>
    <col min="8" max="8" width="18" customWidth="1"/>
    <col min="9" max="9" width="24" customWidth="1"/>
    <col min="10" max="10" width="14" customWidth="1"/>
    <col min="11" max="11" width="16" customWidth="1"/>
    <col min="12" max="12" width="14" customWidth="1"/>
  </cols>
  <sheetData>
    <row r="1" ht="36" customHeight="1" spans="1:12">
      <c r="A1" s="16" t="s">
        <v>294</v>
      </c>
    </row>
    <row r="2" ht="28" customHeight="1" spans="1:12">
      <c r="A2" s="17" t="s">
        <v>295</v>
      </c>
      <c r="F2" s="18" t="s">
        <v>27</v>
      </c>
      <c r="G2" s="19" t="s">
        <v>296</v>
      </c>
    </row>
    <row r="3" ht="26" customHeight="1" spans="1:12">
      <c r="A3" s="20" t="s">
        <v>297</v>
      </c>
      <c r="B3" s="20" t="s">
        <v>298</v>
      </c>
      <c r="C3" s="20" t="s">
        <v>299</v>
      </c>
      <c r="D3" s="20" t="s">
        <v>300</v>
      </c>
      <c r="E3" s="20" t="s">
        <v>301</v>
      </c>
      <c r="F3" s="21" t="s">
        <v>302</v>
      </c>
      <c r="G3" s="22" t="s">
        <v>220</v>
      </c>
      <c r="H3" s="22" t="s">
        <v>221</v>
      </c>
      <c r="I3" s="22" t="s">
        <v>222</v>
      </c>
      <c r="J3" s="22" t="s">
        <v>303</v>
      </c>
      <c r="K3" s="22" t="s">
        <v>304</v>
      </c>
      <c r="L3" s="22" t="s">
        <v>305</v>
      </c>
    </row>
    <row r="4" ht="20" customHeight="1" spans="1:12">
      <c r="A4" s="23" t="s">
        <v>8</v>
      </c>
      <c r="B4" s="24" t="s">
        <v>9</v>
      </c>
      <c r="C4" s="23" t="s">
        <v>10</v>
      </c>
      <c r="D4" s="24" t="s">
        <v>11</v>
      </c>
      <c r="E4" s="24" t="s">
        <v>12</v>
      </c>
      <c r="F4" s="25" t="s">
        <v>302</v>
      </c>
      <c r="G4" s="26" t="s">
        <v>226</v>
      </c>
      <c r="H4" s="27" t="s">
        <v>227</v>
      </c>
      <c r="I4" s="26" t="s">
        <v>10</v>
      </c>
      <c r="J4" s="27" t="s">
        <v>306</v>
      </c>
      <c r="K4" s="27" t="s">
        <v>228</v>
      </c>
      <c r="L4" s="10" t="s">
        <v>229</v>
      </c>
    </row>
    <row r="5" ht="20" customHeight="1" spans="1:12">
      <c r="A5" s="23" t="s">
        <v>15</v>
      </c>
      <c r="B5" s="24" t="s">
        <v>16</v>
      </c>
      <c r="C5" s="23" t="s">
        <v>17</v>
      </c>
      <c r="D5" s="24" t="s">
        <v>18</v>
      </c>
      <c r="E5" s="24" t="s">
        <v>19</v>
      </c>
      <c r="F5" s="25" t="s">
        <v>302</v>
      </c>
      <c r="G5" s="26" t="s">
        <v>231</v>
      </c>
      <c r="H5" s="27" t="s">
        <v>232</v>
      </c>
      <c r="I5" s="26" t="s">
        <v>233</v>
      </c>
      <c r="J5" s="27" t="s">
        <v>307</v>
      </c>
      <c r="K5" s="27" t="s">
        <v>19</v>
      </c>
      <c r="L5" s="10" t="s">
        <v>229</v>
      </c>
    </row>
    <row r="6" ht="20" customHeight="1" spans="1:12">
      <c r="A6" s="23" t="s">
        <v>22</v>
      </c>
      <c r="B6" s="24" t="s">
        <v>23</v>
      </c>
      <c r="C6" s="23" t="s">
        <v>24</v>
      </c>
      <c r="D6" s="24" t="s">
        <v>25</v>
      </c>
      <c r="E6" s="24" t="s">
        <v>26</v>
      </c>
      <c r="F6" s="25" t="s">
        <v>302</v>
      </c>
      <c r="G6" s="28" t="s">
        <v>22</v>
      </c>
      <c r="H6" s="29" t="s">
        <v>235</v>
      </c>
      <c r="I6" s="28" t="s">
        <v>236</v>
      </c>
      <c r="J6" s="29" t="s">
        <v>308</v>
      </c>
      <c r="K6" s="29" t="s">
        <v>237</v>
      </c>
      <c r="L6" s="12" t="s">
        <v>239</v>
      </c>
    </row>
    <row r="7" ht="20" customHeight="1" spans="1:12">
      <c r="A7" s="23" t="s">
        <v>27</v>
      </c>
      <c r="B7" s="24" t="s">
        <v>29</v>
      </c>
      <c r="C7" s="23" t="s">
        <v>30</v>
      </c>
      <c r="D7" s="24" t="s">
        <v>31</v>
      </c>
      <c r="E7" s="24" t="s">
        <v>32</v>
      </c>
      <c r="F7" s="25" t="s">
        <v>302</v>
      </c>
      <c r="G7" s="28" t="s">
        <v>241</v>
      </c>
      <c r="H7" s="29" t="s">
        <v>242</v>
      </c>
      <c r="I7" s="28" t="s">
        <v>30</v>
      </c>
      <c r="J7" s="29" t="s">
        <v>309</v>
      </c>
      <c r="K7" s="29" t="s">
        <v>243</v>
      </c>
      <c r="L7" s="12" t="s">
        <v>239</v>
      </c>
    </row>
    <row r="8" ht="20" customHeight="1" spans="1:12">
      <c r="A8" s="23" t="s">
        <v>35</v>
      </c>
      <c r="B8" s="24" t="s">
        <v>36</v>
      </c>
      <c r="C8" s="23" t="s">
        <v>37</v>
      </c>
      <c r="D8" s="24" t="s">
        <v>38</v>
      </c>
      <c r="E8" s="24" t="s">
        <v>39</v>
      </c>
      <c r="F8" s="25" t="s">
        <v>302</v>
      </c>
      <c r="G8" s="26" t="s">
        <v>246</v>
      </c>
      <c r="H8" s="27" t="s">
        <v>247</v>
      </c>
      <c r="I8" s="26" t="s">
        <v>37</v>
      </c>
      <c r="J8" s="27" t="s">
        <v>310</v>
      </c>
      <c r="K8" s="27" t="s">
        <v>248</v>
      </c>
      <c r="L8" s="10" t="s">
        <v>229</v>
      </c>
    </row>
    <row r="9" ht="20" customHeight="1" spans="1:12">
      <c r="A9" s="23" t="s">
        <v>42</v>
      </c>
      <c r="B9" s="24" t="s">
        <v>43</v>
      </c>
      <c r="C9" s="23" t="s">
        <v>44</v>
      </c>
      <c r="D9" s="24" t="s">
        <v>45</v>
      </c>
      <c r="E9" s="24" t="s">
        <v>46</v>
      </c>
      <c r="F9" s="25" t="s">
        <v>302</v>
      </c>
      <c r="G9" s="26" t="s">
        <v>251</v>
      </c>
      <c r="H9" s="27" t="s">
        <v>252</v>
      </c>
      <c r="I9" s="26" t="s">
        <v>44</v>
      </c>
      <c r="J9" s="27" t="s">
        <v>311</v>
      </c>
      <c r="K9" s="27" t="s">
        <v>253</v>
      </c>
      <c r="L9" s="10" t="s">
        <v>229</v>
      </c>
    </row>
    <row r="10" ht="20" customHeight="1" spans="1:12">
      <c r="A10" s="30" t="s">
        <v>312</v>
      </c>
      <c r="B10" s="31" t="s">
        <v>9</v>
      </c>
      <c r="C10" s="30" t="s">
        <v>10</v>
      </c>
      <c r="D10" s="31" t="s">
        <v>11</v>
      </c>
      <c r="E10" s="31" t="s">
        <v>12</v>
      </c>
      <c r="F10" s="25" t="s">
        <v>302</v>
      </c>
      <c r="G10" s="32" t="s">
        <v>313</v>
      </c>
      <c r="H10" s="33" t="s">
        <v>314</v>
      </c>
      <c r="I10" s="32" t="s">
        <v>314</v>
      </c>
      <c r="J10" s="33" t="s">
        <v>314</v>
      </c>
      <c r="K10" s="33" t="s">
        <v>314</v>
      </c>
      <c r="L10" s="34" t="s">
        <v>315</v>
      </c>
    </row>
    <row r="11" ht="20" customHeight="1" spans="1:12">
      <c r="A11" s="23" t="s">
        <v>52</v>
      </c>
      <c r="B11" s="24" t="s">
        <v>53</v>
      </c>
      <c r="C11" s="23" t="s">
        <v>54</v>
      </c>
      <c r="D11" s="24" t="s">
        <v>55</v>
      </c>
      <c r="E11" s="24" t="s">
        <v>56</v>
      </c>
      <c r="F11" s="25" t="s">
        <v>302</v>
      </c>
      <c r="G11" s="28" t="s">
        <v>52</v>
      </c>
      <c r="H11" s="29" t="s">
        <v>255</v>
      </c>
      <c r="I11" s="28" t="s">
        <v>236</v>
      </c>
      <c r="J11" s="29" t="s">
        <v>316</v>
      </c>
      <c r="K11" s="29" t="s">
        <v>256</v>
      </c>
      <c r="L11" s="12" t="s">
        <v>239</v>
      </c>
    </row>
    <row r="12" ht="20" customHeight="1" spans="1:12">
      <c r="A12" s="23" t="s">
        <v>83</v>
      </c>
      <c r="B12" s="24" t="s">
        <v>84</v>
      </c>
      <c r="C12" s="23" t="s">
        <v>85</v>
      </c>
      <c r="D12" s="24" t="s">
        <v>86</v>
      </c>
      <c r="E12" s="24" t="s">
        <v>87</v>
      </c>
      <c r="F12" s="25" t="s">
        <v>302</v>
      </c>
      <c r="G12" s="28" t="s">
        <v>241</v>
      </c>
      <c r="H12" s="29" t="s">
        <v>272</v>
      </c>
      <c r="I12" s="28" t="s">
        <v>85</v>
      </c>
      <c r="J12" s="29" t="s">
        <v>317</v>
      </c>
      <c r="K12" s="29" t="s">
        <v>273</v>
      </c>
      <c r="L12" s="12" t="s">
        <v>239</v>
      </c>
    </row>
    <row r="13" ht="20" customHeight="1" spans="1:12">
      <c r="A13" s="23" t="s">
        <v>90</v>
      </c>
      <c r="B13" s="24" t="s">
        <v>91</v>
      </c>
      <c r="C13" s="23" t="s">
        <v>92</v>
      </c>
      <c r="D13" s="24" t="s">
        <v>93</v>
      </c>
      <c r="E13" s="24" t="s">
        <v>94</v>
      </c>
      <c r="F13" s="25" t="s">
        <v>302</v>
      </c>
      <c r="G13" s="28" t="s">
        <v>90</v>
      </c>
      <c r="H13" s="29" t="s">
        <v>235</v>
      </c>
      <c r="I13" s="28" t="s">
        <v>92</v>
      </c>
      <c r="J13" s="29" t="s">
        <v>318</v>
      </c>
      <c r="K13" s="29" t="s">
        <v>275</v>
      </c>
      <c r="L13" s="12" t="s">
        <v>239</v>
      </c>
    </row>
    <row r="14" ht="20" customHeight="1" spans="1:12">
      <c r="A14" s="23" t="s">
        <v>97</v>
      </c>
      <c r="B14" s="24" t="s">
        <v>98</v>
      </c>
      <c r="C14" s="23" t="s">
        <v>99</v>
      </c>
      <c r="D14" s="24" t="s">
        <v>100</v>
      </c>
      <c r="E14" s="24" t="s">
        <v>101</v>
      </c>
      <c r="F14" s="25" t="s">
        <v>302</v>
      </c>
      <c r="G14" s="28" t="s">
        <v>97</v>
      </c>
      <c r="H14" s="29" t="s">
        <v>277</v>
      </c>
      <c r="I14" s="28" t="s">
        <v>236</v>
      </c>
      <c r="J14" s="29" t="s">
        <v>319</v>
      </c>
      <c r="K14" s="29" t="s">
        <v>278</v>
      </c>
      <c r="L14" s="12" t="s">
        <v>239</v>
      </c>
    </row>
    <row r="15" ht="20" customHeight="1" spans="1:12">
      <c r="A15" s="30" t="s">
        <v>27</v>
      </c>
      <c r="B15" s="31" t="s">
        <v>27</v>
      </c>
      <c r="C15" s="30" t="s">
        <v>27</v>
      </c>
      <c r="D15" s="31" t="s">
        <v>27</v>
      </c>
      <c r="E15" s="31" t="s">
        <v>27</v>
      </c>
      <c r="F15" s="25" t="s">
        <v>302</v>
      </c>
      <c r="G15" s="32" t="s">
        <v>320</v>
      </c>
      <c r="H15" s="33" t="s">
        <v>314</v>
      </c>
      <c r="I15" s="32" t="s">
        <v>314</v>
      </c>
      <c r="J15" s="33" t="s">
        <v>314</v>
      </c>
      <c r="K15" s="33" t="s">
        <v>314</v>
      </c>
      <c r="L15" s="34" t="s">
        <v>315</v>
      </c>
    </row>
    <row r="16" ht="20" customHeight="1" spans="1:12">
      <c r="A16" s="23" t="s">
        <v>111</v>
      </c>
      <c r="B16" s="24" t="s">
        <v>112</v>
      </c>
      <c r="C16" s="23" t="s">
        <v>113</v>
      </c>
      <c r="D16" s="24" t="s">
        <v>114</v>
      </c>
      <c r="E16" s="24" t="s">
        <v>115</v>
      </c>
      <c r="F16" s="25" t="s">
        <v>302</v>
      </c>
      <c r="G16" s="26" t="s">
        <v>283</v>
      </c>
      <c r="H16" s="27" t="s">
        <v>284</v>
      </c>
      <c r="I16" s="26" t="s">
        <v>113</v>
      </c>
      <c r="J16" s="27" t="s">
        <v>321</v>
      </c>
      <c r="K16" s="27" t="s">
        <v>285</v>
      </c>
      <c r="L16" s="10" t="s">
        <v>229</v>
      </c>
    </row>
    <row r="17" ht="20" customHeight="1" spans="1:12">
      <c r="A17" s="23" t="s">
        <v>118</v>
      </c>
      <c r="B17" s="24" t="s">
        <v>119</v>
      </c>
      <c r="C17" s="23" t="s">
        <v>120</v>
      </c>
      <c r="D17" s="24" t="s">
        <v>121</v>
      </c>
      <c r="E17" s="24" t="s">
        <v>122</v>
      </c>
      <c r="F17" s="25" t="s">
        <v>302</v>
      </c>
      <c r="G17" s="26" t="s">
        <v>118</v>
      </c>
      <c r="H17" s="27" t="s">
        <v>287</v>
      </c>
      <c r="I17" s="26" t="s">
        <v>120</v>
      </c>
      <c r="J17" s="27" t="s">
        <v>322</v>
      </c>
      <c r="K17" s="27" t="s">
        <v>288</v>
      </c>
      <c r="L17" s="10" t="s">
        <v>229</v>
      </c>
    </row>
  </sheetData>
  <mergeCells count="3">
    <mergeCell ref="A1:L1"/>
    <mergeCell ref="A2:E2"/>
    <mergeCell ref="G2:L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workbookViewId="0">
      <pane ySplit="6" topLeftCell="A15" activePane="bottomLeft" state="frozen"/>
      <selection/>
      <selection pane="bottomLeft" activeCell="A1" sqref="A1:H1"/>
    </sheetView>
  </sheetViews>
  <sheetFormatPr defaultColWidth="9" defaultRowHeight="15" outlineLevelCol="7"/>
  <cols>
    <col min="1" max="8" width="18" customWidth="1"/>
  </cols>
  <sheetData>
    <row r="1" ht="40" customHeight="1" spans="1:7">
      <c r="A1" s="1" t="s">
        <v>323</v>
      </c>
    </row>
    <row r="2" ht="15.75"/>
    <row r="3" ht="32" customHeight="1" spans="1:7">
      <c r="A3" s="2" t="s">
        <v>324</v>
      </c>
      <c r="C3" s="3" t="s">
        <v>325</v>
      </c>
      <c r="E3" s="4" t="s">
        <v>326</v>
      </c>
      <c r="G3" s="5" t="s">
        <v>327</v>
      </c>
    </row>
    <row r="4" ht="32" customHeight="1"/>
    <row r="5" ht="32" customHeight="1"/>
    <row r="7" ht="26" customHeight="1" spans="1:7">
      <c r="A7" s="6" t="s">
        <v>328</v>
      </c>
      <c r="B7" s="6" t="s">
        <v>329</v>
      </c>
      <c r="C7" s="6" t="s">
        <v>330</v>
      </c>
      <c r="D7" s="6" t="s">
        <v>223</v>
      </c>
    </row>
    <row r="8" ht="22" customHeight="1" spans="1:7">
      <c r="A8" s="7" t="s">
        <v>331</v>
      </c>
      <c r="B8" s="8">
        <v>1</v>
      </c>
      <c r="C8" s="9">
        <v>1</v>
      </c>
      <c r="D8" s="10" t="s">
        <v>332</v>
      </c>
    </row>
    <row r="9" ht="22" customHeight="1" spans="1:7">
      <c r="A9" s="11" t="s">
        <v>333</v>
      </c>
      <c r="B9" s="8">
        <v>1</v>
      </c>
      <c r="C9" s="9">
        <v>1</v>
      </c>
      <c r="D9" s="10" t="s">
        <v>332</v>
      </c>
    </row>
    <row r="10" ht="22" customHeight="1" spans="1:7">
      <c r="A10" s="7" t="s">
        <v>334</v>
      </c>
      <c r="B10" s="8">
        <v>3</v>
      </c>
      <c r="C10" s="9">
        <v>2</v>
      </c>
      <c r="D10" s="12" t="s">
        <v>335</v>
      </c>
    </row>
    <row r="11" ht="22" customHeight="1" spans="1:7">
      <c r="A11" s="11" t="s">
        <v>336</v>
      </c>
      <c r="B11" s="8">
        <v>5</v>
      </c>
      <c r="C11" s="9">
        <v>0</v>
      </c>
      <c r="D11" s="12" t="s">
        <v>337</v>
      </c>
    </row>
    <row r="12" ht="22" customHeight="1" spans="1:7">
      <c r="A12" s="7" t="s">
        <v>338</v>
      </c>
      <c r="B12" s="8">
        <v>8</v>
      </c>
      <c r="C12" s="9">
        <v>8</v>
      </c>
      <c r="D12" s="10" t="s">
        <v>339</v>
      </c>
    </row>
    <row r="13" ht="22" customHeight="1" spans="1:7">
      <c r="A13" s="11" t="s">
        <v>340</v>
      </c>
      <c r="B13" s="8">
        <v>6</v>
      </c>
      <c r="C13" s="9">
        <v>6</v>
      </c>
      <c r="D13" s="10" t="s">
        <v>339</v>
      </c>
    </row>
    <row r="14" ht="22" customHeight="1" spans="1:7">
      <c r="A14" s="7" t="s">
        <v>341</v>
      </c>
      <c r="B14" s="8">
        <v>5</v>
      </c>
      <c r="C14" s="9">
        <v>5</v>
      </c>
      <c r="D14" s="10" t="s">
        <v>339</v>
      </c>
    </row>
    <row r="15" ht="22" customHeight="1" spans="1:7">
      <c r="A15" s="11" t="s">
        <v>342</v>
      </c>
      <c r="B15" s="8">
        <v>2</v>
      </c>
      <c r="C15" s="9">
        <v>2</v>
      </c>
      <c r="D15" s="10" t="s">
        <v>343</v>
      </c>
    </row>
    <row r="16" ht="24" customHeight="1" spans="1:7">
      <c r="A16" s="13" t="s">
        <v>344</v>
      </c>
      <c r="B16" s="13">
        <f>SUM(B8:B15)</f>
        <v>31</v>
      </c>
      <c r="C16" s="13">
        <f>SUM(C8:C15)</f>
        <v>25</v>
      </c>
      <c r="D16" s="14" t="s">
        <v>27</v>
      </c>
    </row>
    <row r="17" ht="15.75"/>
    <row r="18" ht="30" customHeight="1" spans="1:1">
      <c r="A18" s="15" t="s">
        <v>345</v>
      </c>
    </row>
  </sheetData>
  <mergeCells count="6">
    <mergeCell ref="A1:H1"/>
    <mergeCell ref="A18:H18"/>
    <mergeCell ref="A3:B5"/>
    <mergeCell ref="C3:D5"/>
    <mergeCell ref="E3:F5"/>
    <mergeCell ref="G3:H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① RAW DATA (Before)</vt:lpstr>
      <vt:lpstr>② CLEANING STEPS</vt:lpstr>
      <vt:lpstr>③ CLEAN DATA (After)</vt:lpstr>
      <vt:lpstr>④ BEFORE vs AFTER</vt:lpstr>
      <vt:lpstr>⑤ SUMMARY 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Stel</cp:lastModifiedBy>
  <dcterms:created xsi:type="dcterms:W3CDTF">2026-03-17T00:47:00Z</dcterms:created>
  <dcterms:modified xsi:type="dcterms:W3CDTF">2026-03-17T00:54:31Z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3F695FCBCDAC4B8A91E0C147F295B8D5_13</vt:lpwstr>
  </property>
  <property fmtid="{D5CDD505-2E9C-101B-9397-08002B2CF9AE}" pid="3" name="KSOProductBuildVer">
    <vt:lpwstr>1033-12.1.0.25180</vt:lpwstr>
  </property>
  <property fmtid="{D5CDD505-2E9C-101B-9397-08002B2CF9AE}" pid="4" name="CalculationRule">
    <vt:i4>0</vt:i4>
  </property>
</Properties>
</file>