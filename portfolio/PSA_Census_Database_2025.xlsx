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📋 CENSUS DATABASE" sheetId="1" r:id="rId1"/>
    <sheet name="🔒 VALIDATION LISTS" sheetId="2" r:id="rId2"/>
    <sheet name="📊 SUMMARY DASHBOARD" sheetId="3" r:id="rId3"/>
    <sheet name="📖 ENCODER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<sst xmlns="http://schemas.openxmlformats.org/spreadsheetml/2006/main" count="1149" uniqueCount="410">
  <si>
    <t>PSA POPULATION CENSUS DATABASE 2025 — Records Management System</t>
  </si>
  <si>
    <t>Philippine Statistics Authority  ·  Encoded by: Estela Solano, Data Encoder  ·  As of March 2025  ·  DO NOT SHARE — For Internal Use Only</t>
  </si>
  <si>
    <t>Record ID</t>
  </si>
  <si>
    <t>Household ID</t>
  </si>
  <si>
    <t>First Name</t>
  </si>
  <si>
    <t>Last Name</t>
  </si>
  <si>
    <t>Age</t>
  </si>
  <si>
    <t>Sex</t>
  </si>
  <si>
    <t>Civil Status</t>
  </si>
  <si>
    <t>Education</t>
  </si>
  <si>
    <t>Employment</t>
  </si>
  <si>
    <t>Rel. to Head</t>
  </si>
  <si>
    <t>Region</t>
  </si>
  <si>
    <t>Province</t>
  </si>
  <si>
    <t>Municipality</t>
  </si>
  <si>
    <t>Barangay</t>
  </si>
  <si>
    <t>Residence Type</t>
  </si>
  <si>
    <t>Housing Type</t>
  </si>
  <si>
    <t>Date Encoded</t>
  </si>
  <si>
    <t>Encoder</t>
  </si>
  <si>
    <t>Record Status</t>
  </si>
  <si>
    <t>PSA-2025-0001</t>
  </si>
  <si>
    <t>HH-0004</t>
  </si>
  <si>
    <t>Juan</t>
  </si>
  <si>
    <t>Fernandez</t>
  </si>
  <si>
    <t>Male</t>
  </si>
  <si>
    <t>Annulled</t>
  </si>
  <si>
    <t>High School</t>
  </si>
  <si>
    <t>Retired</t>
  </si>
  <si>
    <t>Head</t>
  </si>
  <si>
    <t>Region IV-A - CALABARZON</t>
  </si>
  <si>
    <t>Marikina</t>
  </si>
  <si>
    <t>Poblacion</t>
  </si>
  <si>
    <t>Brgy 048</t>
  </si>
  <si>
    <t>Rural</t>
  </si>
  <si>
    <t>Single-Family House</t>
  </si>
  <si>
    <t>2025-01-03</t>
  </si>
  <si>
    <t>R. Reyes</t>
  </si>
  <si>
    <t>Verified</t>
  </si>
  <si>
    <t>PSA-2025-0002</t>
  </si>
  <si>
    <t>HH-0019</t>
  </si>
  <si>
    <t>Noel</t>
  </si>
  <si>
    <t>Torres</t>
  </si>
  <si>
    <t>Widowed</t>
  </si>
  <si>
    <t>Special Education</t>
  </si>
  <si>
    <t>Not in Labor Force</t>
  </si>
  <si>
    <t>NCR - National Capital Region</t>
  </si>
  <si>
    <t>Bulacan</t>
  </si>
  <si>
    <t>Barangay 1</t>
  </si>
  <si>
    <t>Brgy 029</t>
  </si>
  <si>
    <t>Urban</t>
  </si>
  <si>
    <t>Duplex</t>
  </si>
  <si>
    <t>2025-03-14</t>
  </si>
  <si>
    <t>A. Cruz</t>
  </si>
  <si>
    <t>PSA-2025-0003</t>
  </si>
  <si>
    <t>HH-0020</t>
  </si>
  <si>
    <t>Manuel</t>
  </si>
  <si>
    <t>Bautista</t>
  </si>
  <si>
    <t>Single</t>
  </si>
  <si>
    <t>Elementary</t>
  </si>
  <si>
    <t>Region VI - Western Visayas</t>
  </si>
  <si>
    <t>Quezon City</t>
  </si>
  <si>
    <t>Central</t>
  </si>
  <si>
    <t>Brgy 023</t>
  </si>
  <si>
    <t>2025-03-15</t>
  </si>
  <si>
    <t>L. Ocampo</t>
  </si>
  <si>
    <t>PSA-2025-0004</t>
  </si>
  <si>
    <t>HH-0003</t>
  </si>
  <si>
    <t>Lucia</t>
  </si>
  <si>
    <t>Lim</t>
  </si>
  <si>
    <t>Female</t>
  </si>
  <si>
    <t>Post Graduate</t>
  </si>
  <si>
    <t>Unemployed</t>
  </si>
  <si>
    <t>Region V - Bicol Region</t>
  </si>
  <si>
    <t>Pampanga</t>
  </si>
  <si>
    <t>Brgy 046</t>
  </si>
  <si>
    <t>2025-01-28</t>
  </si>
  <si>
    <t>M. Santos</t>
  </si>
  <si>
    <t>PSA-2025-0005</t>
  </si>
  <si>
    <t>HH-0030</t>
  </si>
  <si>
    <t>Rosario</t>
  </si>
  <si>
    <t>Garcia</t>
  </si>
  <si>
    <t>College Graduate</t>
  </si>
  <si>
    <t>Unable to Work</t>
  </si>
  <si>
    <t>Barangay Proper</t>
  </si>
  <si>
    <t>Brgy 045</t>
  </si>
  <si>
    <t>Condominium/Apartment</t>
  </si>
  <si>
    <t>2025-03-08</t>
  </si>
  <si>
    <t>PSA-2025-0006</t>
  </si>
  <si>
    <t>HH-0013</t>
  </si>
  <si>
    <t>Jennifer</t>
  </si>
  <si>
    <t>Ramos</t>
  </si>
  <si>
    <t>Region I - Ilocos Region</t>
  </si>
  <si>
    <t>District 1</t>
  </si>
  <si>
    <t>Brgy 021</t>
  </si>
  <si>
    <t>2025-03-16</t>
  </si>
  <si>
    <t>C. Bautista</t>
  </si>
  <si>
    <t>Duplicate</t>
  </si>
  <si>
    <t>PSA-2025-0007</t>
  </si>
  <si>
    <t>HH-0009</t>
  </si>
  <si>
    <t>Rosa</t>
  </si>
  <si>
    <t>Aquino</t>
  </si>
  <si>
    <t>Senior High School</t>
  </si>
  <si>
    <t>Pangasinan</t>
  </si>
  <si>
    <t>South</t>
  </si>
  <si>
    <t>Brgy 035</t>
  </si>
  <si>
    <t>Multi-Unit Residential</t>
  </si>
  <si>
    <t>2025-01-05</t>
  </si>
  <si>
    <t>PSA-2025-0008</t>
  </si>
  <si>
    <t>Carlo</t>
  </si>
  <si>
    <t>Ocampo</t>
  </si>
  <si>
    <t>Legally Separated</t>
  </si>
  <si>
    <t>Student</t>
  </si>
  <si>
    <t>Sibling</t>
  </si>
  <si>
    <t>Region III - Central Luzon</t>
  </si>
  <si>
    <t>Cebu</t>
  </si>
  <si>
    <t>East</t>
  </si>
  <si>
    <t>Brgy 039</t>
  </si>
  <si>
    <t>2025-01-22</t>
  </si>
  <si>
    <t>PSA-2025-0009</t>
  </si>
  <si>
    <t>HH-0024</t>
  </si>
  <si>
    <t>Marilou</t>
  </si>
  <si>
    <t>Caloocan</t>
  </si>
  <si>
    <t>West</t>
  </si>
  <si>
    <t>Brgy 001</t>
  </si>
  <si>
    <t>For Review</t>
  </si>
  <si>
    <t>PSA-2025-0010</t>
  </si>
  <si>
    <t>Ramon</t>
  </si>
  <si>
    <t>Villanueva</t>
  </si>
  <si>
    <t>Employed</t>
  </si>
  <si>
    <t>Parent</t>
  </si>
  <si>
    <t>2025-01-02</t>
  </si>
  <si>
    <t>PSA-2025-0011</t>
  </si>
  <si>
    <t>HH-0005</t>
  </si>
  <si>
    <t>Miguel</t>
  </si>
  <si>
    <t>Married</t>
  </si>
  <si>
    <t>Region II - Cagayan Valley</t>
  </si>
  <si>
    <t>Brgy 050</t>
  </si>
  <si>
    <t>2025-03-28</t>
  </si>
  <si>
    <t>PSA-2025-0012</t>
  </si>
  <si>
    <t>HH-0029</t>
  </si>
  <si>
    <t>Sy</t>
  </si>
  <si>
    <t>College Undergraduate</t>
  </si>
  <si>
    <t>Region IV-B - MIMAROPA</t>
  </si>
  <si>
    <t>2025-01-11</t>
  </si>
  <si>
    <t>PSA-2025-0013</t>
  </si>
  <si>
    <t>Arnel</t>
  </si>
  <si>
    <t>No Grade Completed</t>
  </si>
  <si>
    <t>Spouse</t>
  </si>
  <si>
    <t>Brgy 015</t>
  </si>
  <si>
    <t>PSA-2025-0014</t>
  </si>
  <si>
    <t>HH-0007</t>
  </si>
  <si>
    <t>Region VII - Central Visayas</t>
  </si>
  <si>
    <t>Brgy 027</t>
  </si>
  <si>
    <t>2025-02-14</t>
  </si>
  <si>
    <t>PSA-2025-0015</t>
  </si>
  <si>
    <t>Reyes</t>
  </si>
  <si>
    <t>Child</t>
  </si>
  <si>
    <t>District 2</t>
  </si>
  <si>
    <t>Brgy 016</t>
  </si>
  <si>
    <t>2025-02-15</t>
  </si>
  <si>
    <t>PSA-2025-0016</t>
  </si>
  <si>
    <t>Alfredo</t>
  </si>
  <si>
    <t>Non-Relative</t>
  </si>
  <si>
    <t>Ilocos Norte</t>
  </si>
  <si>
    <t>Makeshift/Informal</t>
  </si>
  <si>
    <t>2025-02-16</t>
  </si>
  <si>
    <t>PSA-2025-0017</t>
  </si>
  <si>
    <t>HH-0014</t>
  </si>
  <si>
    <t>Eduardo</t>
  </si>
  <si>
    <t>Espiritu</t>
  </si>
  <si>
    <t>Pasig</t>
  </si>
  <si>
    <t>Brgy 019</t>
  </si>
  <si>
    <t>2025-01-10</t>
  </si>
  <si>
    <t>Incomplete</t>
  </si>
  <si>
    <t>PSA-2025-0018</t>
  </si>
  <si>
    <t>HH-0002</t>
  </si>
  <si>
    <t>Laguna</t>
  </si>
  <si>
    <t>Brgy 011</t>
  </si>
  <si>
    <t>2025-01-20</t>
  </si>
  <si>
    <t>PSA-2025-0019</t>
  </si>
  <si>
    <t>Danilo</t>
  </si>
  <si>
    <t>North</t>
  </si>
  <si>
    <t>Brgy 003</t>
  </si>
  <si>
    <t>PSA-2025-0020</t>
  </si>
  <si>
    <t>Morales</t>
  </si>
  <si>
    <t>Cavite</t>
  </si>
  <si>
    <t>Brgy 049</t>
  </si>
  <si>
    <t>2025-03-07</t>
  </si>
  <si>
    <t>PSA-2025-0021</t>
  </si>
  <si>
    <t>HH-0023</t>
  </si>
  <si>
    <t>Other</t>
  </si>
  <si>
    <t>2025-03-10</t>
  </si>
  <si>
    <t>PSA-2025-0022</t>
  </si>
  <si>
    <t>Fernando</t>
  </si>
  <si>
    <t>PSA-2025-0023</t>
  </si>
  <si>
    <t>HH-0001</t>
  </si>
  <si>
    <t>Ana</t>
  </si>
  <si>
    <t>Cruz</t>
  </si>
  <si>
    <t>Davao del Sur</t>
  </si>
  <si>
    <t>PSA-2025-0024</t>
  </si>
  <si>
    <t>HH-0018</t>
  </si>
  <si>
    <t>Manila</t>
  </si>
  <si>
    <t>Brgy 038</t>
  </si>
  <si>
    <t>2025-02-26</t>
  </si>
  <si>
    <t>PSA-2025-0025</t>
  </si>
  <si>
    <t>Roberto</t>
  </si>
  <si>
    <t>Other Relative</t>
  </si>
  <si>
    <t>2025-01-14</t>
  </si>
  <si>
    <t>PSA-2025-0026</t>
  </si>
  <si>
    <t>HH-0028</t>
  </si>
  <si>
    <t>Natividad</t>
  </si>
  <si>
    <t>Brgy 025</t>
  </si>
  <si>
    <t>2025-02-12</t>
  </si>
  <si>
    <t>PSA-2025-0027</t>
  </si>
  <si>
    <t>Santos</t>
  </si>
  <si>
    <t>Vocational/Technical</t>
  </si>
  <si>
    <t>Brgy 018</t>
  </si>
  <si>
    <t>2025-03-11</t>
  </si>
  <si>
    <t>PSA-2025-0028</t>
  </si>
  <si>
    <t>HH-0012</t>
  </si>
  <si>
    <t>Elena</t>
  </si>
  <si>
    <t>Pascual</t>
  </si>
  <si>
    <t>Brgy 028</t>
  </si>
  <si>
    <t>PSA-2025-0029</t>
  </si>
  <si>
    <t>HH-0022</t>
  </si>
  <si>
    <t>Maria</t>
  </si>
  <si>
    <t>Gonzales</t>
  </si>
  <si>
    <t>Self-Employed</t>
  </si>
  <si>
    <t>Batangas</t>
  </si>
  <si>
    <t>Brgy 005</t>
  </si>
  <si>
    <t>2025-02-17</t>
  </si>
  <si>
    <t>PSA-2025-0030</t>
  </si>
  <si>
    <t>Florencia</t>
  </si>
  <si>
    <t>Rivera</t>
  </si>
  <si>
    <t>2025-03-27</t>
  </si>
  <si>
    <t>PSA-2025-0031</t>
  </si>
  <si>
    <t>Renato</t>
  </si>
  <si>
    <t>PSA-2025-0032</t>
  </si>
  <si>
    <t>Brgy 010</t>
  </si>
  <si>
    <t>2025-02-21</t>
  </si>
  <si>
    <t>PSA-2025-0033</t>
  </si>
  <si>
    <t>Maricel</t>
  </si>
  <si>
    <t>2025-03-17</t>
  </si>
  <si>
    <t>PSA-2025-0034</t>
  </si>
  <si>
    <t>Soriano</t>
  </si>
  <si>
    <t>Brgy 036</t>
  </si>
  <si>
    <t>2025-02-06</t>
  </si>
  <si>
    <t>PSA-2025-0035</t>
  </si>
  <si>
    <t>HH-0015</t>
  </si>
  <si>
    <t>2025-02-11</t>
  </si>
  <si>
    <t>PSA-2025-0036</t>
  </si>
  <si>
    <t>HH-0011</t>
  </si>
  <si>
    <t>2025-02-13</t>
  </si>
  <si>
    <t>PSA-2025-0037</t>
  </si>
  <si>
    <t>2025-01-09</t>
  </si>
  <si>
    <t>PSA-2025-0038</t>
  </si>
  <si>
    <t>Grandchild</t>
  </si>
  <si>
    <t>Brgy 009</t>
  </si>
  <si>
    <t>PSA-2025-0039</t>
  </si>
  <si>
    <t>Jose</t>
  </si>
  <si>
    <t>2025-01-16</t>
  </si>
  <si>
    <t>PSA-2025-0040</t>
  </si>
  <si>
    <t>Ernesto</t>
  </si>
  <si>
    <t>PSA-2025-0041</t>
  </si>
  <si>
    <t>2025-01-19</t>
  </si>
  <si>
    <t>PSA-2025-0042</t>
  </si>
  <si>
    <t>Brgy 007</t>
  </si>
  <si>
    <t>2025-01-12</t>
  </si>
  <si>
    <t>PSA-2025-0043</t>
  </si>
  <si>
    <t>Brgy 032</t>
  </si>
  <si>
    <t>PSA-2025-0044</t>
  </si>
  <si>
    <t>Sheila</t>
  </si>
  <si>
    <t>2025-01-25</t>
  </si>
  <si>
    <t>PSA-2025-0045</t>
  </si>
  <si>
    <t>Brgy 014</t>
  </si>
  <si>
    <t>2025-01-17</t>
  </si>
  <si>
    <t>PSA-2025-0046</t>
  </si>
  <si>
    <t>HH-0026</t>
  </si>
  <si>
    <t>PSA-2025-0047</t>
  </si>
  <si>
    <t>Brgy 022</t>
  </si>
  <si>
    <t>2025-01-24</t>
  </si>
  <si>
    <t>PSA-2025-0048</t>
  </si>
  <si>
    <t>HH-0017</t>
  </si>
  <si>
    <t>Antonio</t>
  </si>
  <si>
    <t>PSA-2025-0049</t>
  </si>
  <si>
    <t>Brgy 041</t>
  </si>
  <si>
    <t>PSA-2025-0050</t>
  </si>
  <si>
    <t>HH-0027</t>
  </si>
  <si>
    <t>Brgy 008</t>
  </si>
  <si>
    <t>2025-02-03</t>
  </si>
  <si>
    <t>DATA VALIDATION REFERENCE LISTS — Do Not Edit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</si>
  <si>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</si>
  <si>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</si>
  <si>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</si>
  <si>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</si>
  <si>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</si>
  <si>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</si>
  <si>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CAR - Cordillera Administrative Region</t>
  </si>
  <si>
    <t>BARMM - Bangsamoro Autonomous Region</t>
  </si>
  <si>
    <t>📊  PSA CENSUS DATABASE — SUMMARY DASHBOARD</t>
  </si>
  <si>
    <t>Auto-calculated from the CENSUS DATABASE sheet  ·  Last Updated: March 2025</t>
  </si>
  <si>
    <t>👥 TOTAL RECORDS</t>
  </si>
  <si>
    <t>✅ VERIFIED</t>
  </si>
  <si>
    <t>⚠️ FOR REVIEW</t>
  </si>
  <si>
    <t>❌ INCOMPLETE/DUPLICATE</t>
  </si>
  <si>
    <t>SEX BREAKDOWN</t>
  </si>
  <si>
    <t>Status Count (for chart)</t>
  </si>
  <si>
    <t>AGE GROUP BREAKDOWN</t>
  </si>
  <si>
    <t>0–14 (Children)</t>
  </si>
  <si>
    <t>15–24 (Youth)</t>
  </si>
  <si>
    <t>25–59 (Working Age)</t>
  </si>
  <si>
    <t>60+ (Senior)</t>
  </si>
  <si>
    <t>EMPLOYMENT STATUS</t>
  </si>
  <si>
    <t>RESIDENCE TYPE</t>
  </si>
  <si>
    <t>STATISTICAL SUMMARY</t>
  </si>
  <si>
    <t>Average Age</t>
  </si>
  <si>
    <t>Youngest</t>
  </si>
  <si>
    <t>Oldest</t>
  </si>
  <si>
    <t>Total HH IDs</t>
  </si>
  <si>
    <t>Avg HH Size</t>
  </si>
  <si>
    <t>📖  DATA ENCODER GUIDE — PSA Census Database 2025</t>
  </si>
  <si>
    <t>Column</t>
  </si>
  <si>
    <t>Field Name</t>
  </si>
  <si>
    <t>Data Type</t>
  </si>
  <si>
    <t>Allowed Values / Format</t>
  </si>
  <si>
    <t>Encoding Notes</t>
  </si>
  <si>
    <t>A</t>
  </si>
  <si>
    <t>Text (Auto)</t>
  </si>
  <si>
    <t>PSA-2025-XXXX (system-generated)</t>
  </si>
  <si>
    <t>Do not edit. Auto-assigned upon encoding.</t>
  </si>
  <si>
    <t>B</t>
  </si>
  <si>
    <t>Text</t>
  </si>
  <si>
    <t>HH-XXXX (4-digit number)</t>
  </si>
  <si>
    <t>Group all members of one household under the same ID. E.g., HH-0001.</t>
  </si>
  <si>
    <t>C</t>
  </si>
  <si>
    <t>Proper case. E.g., Maria</t>
  </si>
  <si>
    <t>Enter given name only. No nicknames.</t>
  </si>
  <si>
    <t>D</t>
  </si>
  <si>
    <t>Proper case. E.g., Santos</t>
  </si>
  <si>
    <t>Enter family name. For married women, use maiden or married name per respondent preference.</t>
  </si>
  <si>
    <t>E</t>
  </si>
  <si>
    <t>Whole Number</t>
  </si>
  <si>
    <t>0 to 120 (validated)</t>
  </si>
  <si>
    <t>Enter age in years as of last birthday. Infants less than 1 year = 0.</t>
  </si>
  <si>
    <t>F</t>
  </si>
  <si>
    <t>Dropdown</t>
  </si>
  <si>
    <t>Male / Female</t>
  </si>
  <si>
    <t>Select from dropdown. Based on biological sex as declared by respondent.</t>
  </si>
  <si>
    <t>G</t>
  </si>
  <si>
    <t>Single / Married / Widowed / etc.</t>
  </si>
  <si>
    <t>For respondents under 15, default to Single unless otherwise stated.</t>
  </si>
  <si>
    <t>H</t>
  </si>
  <si>
    <t>See dropdown list</t>
  </si>
  <si>
    <t>Highest educational attainment completed, not currently enrolled.</t>
  </si>
  <si>
    <t>I</t>
  </si>
  <si>
    <t>Current employment status at time of interview. Those under 15 = Not in Labor Force.</t>
  </si>
  <si>
    <t>J</t>
  </si>
  <si>
    <t>Head / Spouse / Child / etc.</t>
  </si>
  <si>
    <t>One Head per Household ID. All others encoded relative to the Head.</t>
  </si>
  <si>
    <t>K</t>
  </si>
  <si>
    <t>See dropdown list (PSA standard)</t>
  </si>
  <si>
    <t>Use official PSA region names. Do not abbreviate.</t>
  </si>
  <si>
    <t>L</t>
  </si>
  <si>
    <t>Official province name</t>
  </si>
  <si>
    <t>Use full official name. E.g., Metro Manila entries use city name.</t>
  </si>
  <si>
    <t>M</t>
  </si>
  <si>
    <t>Official municipality/city name</t>
  </si>
  <si>
    <t>Use full name. Include 'City' if applicable.</t>
  </si>
  <si>
    <t>N</t>
  </si>
  <si>
    <t>Official barangay name</t>
  </si>
  <si>
    <t>Enter full barangay name per LGU records.</t>
  </si>
  <si>
    <t>O</t>
  </si>
  <si>
    <t>Urban / Rural</t>
  </si>
  <si>
    <t>Based on PSA urban/rural classification of barangay.</t>
  </si>
  <si>
    <t>P</t>
  </si>
  <si>
    <t>Type of structure where household resides.</t>
  </si>
  <si>
    <t>Q</t>
  </si>
  <si>
    <t>Date</t>
  </si>
  <si>
    <t>YYYY-MM-DD format (2020–2025)</t>
  </si>
  <si>
    <t>Date the record was entered into this system. Must be within valid range.</t>
  </si>
  <si>
    <t>R</t>
  </si>
  <si>
    <t>Encoder Name</t>
  </si>
  <si>
    <t>Last name, First initial. E.g., Santos M.</t>
  </si>
  <si>
    <t>Use standard format. Do not use nicknames.</t>
  </si>
  <si>
    <t>S</t>
  </si>
  <si>
    <t>Verified / For Review / Duplicate / Incomplete</t>
  </si>
  <si>
    <t>Set to 'For Review' if any field is uncertain. Supervisor sets to 'Verified'.</t>
  </si>
  <si>
    <t>⚠️  COMMON ENCODING ERRORS TO AVOID</t>
  </si>
  <si>
    <t>Error Type</t>
  </si>
  <si>
    <t>Example</t>
  </si>
  <si>
    <t>How to Avoid</t>
  </si>
  <si>
    <t>Mismatched Household IDs</t>
  </si>
  <si>
    <t>Members of the same household given different HH IDs</t>
  </si>
  <si>
    <t>Cross-check all members before saving</t>
  </si>
  <si>
    <t>Age–Civil Status mismatch</t>
  </si>
  <si>
    <t>Respondent aged 10 encoded as 'Married'</t>
  </si>
  <si>
    <t>Review Age vs. Civil Status before submitting</t>
  </si>
  <si>
    <t>Incorrect date format</t>
  </si>
  <si>
    <t>Encoding '03/15/2025' instead of '2025-03-15'</t>
  </si>
  <si>
    <t>Always use YYYY-MM-DD format</t>
  </si>
  <si>
    <t>Wrong relationship encoding</t>
  </si>
  <si>
    <t>First member of household not encoded as 'Head'</t>
  </si>
  <si>
    <t>Ensure exactly one Head per Household ID</t>
  </si>
  <si>
    <t>Leaving Status blank</t>
  </si>
  <si>
    <t>Record Status left empty after encoding</t>
  </si>
  <si>
    <t>Set to 'For Review' if unsure; never leave blank</t>
  </si>
  <si>
    <t>Uppercase/lowercase errors</t>
  </si>
  <si>
    <t>Names encoded in ALL CAPS or all lowercase</t>
  </si>
  <si>
    <t>Use Proper Case for all names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</si>
</sst>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%"/>
    <numFmt numFmtId="177" formatCode="0.0"/>
  </numFmts>
  <fonts count="46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1A3558"/>
      <name val="Arial"/>
      <charset val="134"/>
    </font>
    <font>
      <b/>
      <sz val="10"/>
      <color rgb="FF1A1A1A"/>
      <name val="Arial"/>
      <charset val="134"/>
    </font>
    <font>
      <sz val="9"/>
      <color rgb="FF2563A8"/>
      <name val="Arial"/>
      <charset val="134"/>
    </font>
    <font>
      <sz val="9"/>
      <color rgb="FF1A1A1A"/>
      <name val="Arial"/>
      <charset val="134"/>
    </font>
    <font>
      <i/>
      <sz val="9"/>
      <color rgb="FF4A5568"/>
      <name val="Arial"/>
      <charset val="134"/>
    </font>
    <font>
      <b/>
      <sz val="11"/>
      <color rgb="FFFFFFFF"/>
      <name val="Arial"/>
      <charset val="134"/>
    </font>
    <font>
      <b/>
      <sz val="9"/>
      <color rgb="FFB71C1C"/>
      <name val="Arial"/>
      <charset val="134"/>
    </font>
    <font>
      <i/>
      <sz val="9"/>
      <color rgb="FF1A1A1A"/>
      <name val="Arial"/>
      <charset val="134"/>
    </font>
    <font>
      <b/>
      <sz val="9"/>
      <color rgb="FF1B5E20"/>
      <name val="Arial"/>
      <charset val="134"/>
    </font>
    <font>
      <b/>
      <sz val="15"/>
      <color rgb="FFFFFFFF"/>
      <name val="Arial"/>
      <charset val="134"/>
    </font>
    <font>
      <i/>
      <sz val="10"/>
      <color rgb="FF4A5568"/>
      <name val="Arial"/>
      <charset val="134"/>
    </font>
    <font>
      <b/>
      <sz val="11"/>
      <color rgb="FFDDDDFF"/>
      <name val="Arial"/>
      <charset val="134"/>
    </font>
    <font>
      <b/>
      <sz val="28"/>
      <color rgb="FFFFFFFF"/>
      <name val="Arial"/>
      <charset val="134"/>
    </font>
    <font>
      <b/>
      <sz val="8"/>
      <color rgb="FFFFFFFF"/>
      <name val="Arial"/>
      <charset val="134"/>
    </font>
    <font>
      <sz val="10"/>
      <name val="Arial"/>
      <charset val="134"/>
    </font>
    <font>
      <sz val="10"/>
      <color rgb="FF4A5568"/>
      <name val="Arial"/>
      <charset val="134"/>
    </font>
    <font>
      <sz val="9"/>
      <name val="Arial"/>
      <charset val="134"/>
    </font>
    <font>
      <b/>
      <sz val="11"/>
      <color rgb="FF1A3558"/>
      <name val="Arial"/>
      <charset val="134"/>
    </font>
    <font>
      <b/>
      <sz val="12"/>
      <color rgb="FFFFFFFF"/>
      <name val="Arial"/>
      <charset val="134"/>
    </font>
    <font>
      <b/>
      <sz val="14"/>
      <color rgb="FFFFFFFF"/>
      <name val="Arial"/>
      <charset val="134"/>
    </font>
    <font>
      <b/>
      <sz val="9"/>
      <color rgb="FF1A3558"/>
      <name val="Arial"/>
      <charset val="134"/>
    </font>
    <font>
      <b/>
      <sz val="9"/>
      <color rgb="FF6D4C00"/>
      <name val="Arial"/>
      <charset val="134"/>
    </font>
    <font>
      <b/>
      <sz val="9"/>
      <color rgb="FFE651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A3558"/>
        <bgColor indexed="64"/>
      </patternFill>
    </fill>
    <fill>
      <patternFill patternType="solid">
        <fgColor rgb="FF2563A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D0E4F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1A3558"/>
      </left>
      <right style="medium">
        <color rgb="FF1A3558"/>
      </right>
      <top style="medium">
        <color rgb="FF1A3558"/>
      </top>
      <bottom style="medium">
        <color rgb="FF1A3558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5" borderId="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8" applyNumberFormat="0" applyAlignment="0" applyProtection="0">
      <alignment vertical="center"/>
    </xf>
    <xf numFmtId="0" fontId="36" fillId="17" borderId="9" applyNumberFormat="0" applyAlignment="0" applyProtection="0">
      <alignment vertical="center"/>
    </xf>
    <xf numFmtId="0" fontId="37" fillId="17" borderId="8" applyNumberFormat="0" applyAlignment="0" applyProtection="0">
      <alignment vertical="center"/>
    </xf>
    <xf numFmtId="0" fontId="38" fillId="18" borderId="10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2" xfId="0" applyBorder="1"/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0" fillId="2" borderId="1" xfId="0" applyFill="1" applyBorder="1"/>
    <xf numFmtId="0" fontId="14" fillId="3" borderId="3" xfId="0" applyFont="1" applyFill="1" applyBorder="1" applyAlignment="1">
      <alignment horizontal="center" vertical="center"/>
    </xf>
    <xf numFmtId="0" fontId="0" fillId="3" borderId="1" xfId="0" applyFill="1" applyBorder="1"/>
    <xf numFmtId="0" fontId="14" fillId="10" borderId="3" xfId="0" applyFont="1" applyFill="1" applyBorder="1" applyAlignment="1">
      <alignment horizontal="center" vertical="center"/>
    </xf>
    <xf numFmtId="0" fontId="0" fillId="10" borderId="1" xfId="0" applyFill="1" applyBorder="1"/>
    <xf numFmtId="0" fontId="14" fillId="6" borderId="3" xfId="0" applyFont="1" applyFill="1" applyBorder="1" applyAlignment="1">
      <alignment horizontal="center" vertical="center"/>
    </xf>
    <xf numFmtId="0" fontId="0" fillId="6" borderId="1" xfId="0" applyFill="1" applyBorder="1"/>
    <xf numFmtId="0" fontId="15" fillId="2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4" xfId="0" applyBorder="1"/>
    <xf numFmtId="0" fontId="16" fillId="11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right" vertical="center"/>
    </xf>
    <xf numFmtId="176" fontId="18" fillId="4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/>
    <xf numFmtId="0" fontId="19" fillId="4" borderId="1" xfId="0" applyFont="1" applyFill="1" applyBorder="1" applyAlignment="1">
      <alignment horizontal="right"/>
    </xf>
    <xf numFmtId="0" fontId="17" fillId="5" borderId="1" xfId="0" applyFont="1" applyFill="1" applyBorder="1" applyAlignment="1">
      <alignment horizontal="right" vertical="center"/>
    </xf>
    <xf numFmtId="176" fontId="18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77" fontId="20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" fontId="20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1" fontId="20" fillId="4" borderId="1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name val="Arial"/>
        <scheme val="none"/>
        <b val="1"/>
        <sz val="9"/>
        <color rgb="FF1B5E20"/>
      </font>
      <fill>
        <patternFill patternType="solid">
          <fgColor rgb="FFE6F4EA"/>
        </patternFill>
      </fill>
    </dxf>
    <dxf>
      <font>
        <name val="Arial"/>
        <scheme val="none"/>
        <b val="1"/>
        <sz val="9"/>
        <color rgb="FF6D4C00"/>
      </font>
      <fill>
        <patternFill patternType="solid">
          <fgColor rgb="FFFFF8E1"/>
        </patternFill>
      </fill>
    </dxf>
    <dxf>
      <font>
        <name val="Arial"/>
        <scheme val="none"/>
        <b val="1"/>
        <sz val="9"/>
        <color rgb="FFB71C1C"/>
      </font>
      <fill>
        <patternFill patternType="solid">
          <fgColor rgb="FFFDECEA"/>
        </patternFill>
      </fill>
    </dxf>
    <dxf>
      <font>
        <name val="Arial"/>
        <scheme val="none"/>
        <b val="1"/>
        <sz val="9"/>
        <color rgb="FFE65100"/>
      </font>
      <fill>
        <patternFill patternType="solid">
          <fgColor rgb="FFFFF3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Population by Age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SUMMARY DASHBOARD'!$B$13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563A8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SUMMARY DASHBOARD'!$A$14:$A$17</c:f>
              <c:strCache>
                <c:ptCount val="4"/>
                <c:pt idx="0">
                  <c:v>0–14 (Children)</c:v>
                </c:pt>
                <c:pt idx="1">
                  <c:v>15–24 (Youth)</c:v>
                </c:pt>
                <c:pt idx="2">
                  <c:v>25–59 (Working Age)</c:v>
                </c:pt>
                <c:pt idx="3">
                  <c:v>60+ (Senior)</c:v>
                </c:pt>
              </c:strCache>
            </c:strRef>
          </c:cat>
          <c:val>
            <c:numRef>
              <c:f>'📊 SUMMARY DASHBOARD'!$B$14:$B$17</c:f>
              <c:numCache>
                <c:formatCode>General</c:formatCode>
                <c:ptCount val="4"/>
                <c:pt idx="0">
                  <c:v>9</c:v>
                </c:pt>
                <c:pt idx="1">
                  <c:v>5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bbb341-d82e-4a26-9875-def3c3b278b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Records by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'📊 SUMMARY DASHBOARD'!$L$9</c:f>
              <c:strCache>
                <c:ptCount val="1"/>
                <c:pt idx="0">
                  <c:v/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'📊 SUMMARY DASHBOARD'!$K$10:$K$13</c:f>
              <c:strCache>
                <c:ptCount val="4"/>
                <c:pt idx="0">
                  <c:v>Verified</c:v>
                </c:pt>
                <c:pt idx="1">
                  <c:v>For Review</c:v>
                </c:pt>
                <c:pt idx="2">
                  <c:v>Duplicate</c:v>
                </c:pt>
                <c:pt idx="3">
                  <c:v>Incomplete</c:v>
                </c:pt>
              </c:strCache>
            </c:strRef>
          </c:cat>
          <c:val>
            <c:numRef>
              <c:f>'📊 SUMMARY DASHBOARD'!$L$10:$L$13</c:f>
              <c:numCache>
                <c:formatCode>General</c:formatCode>
                <c:ptCount val="4"/>
                <c:pt idx="0">
                  <c:v>34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62725c-b081-4cec-9aab-98523036566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8</xdr:row>
      <xdr:rowOff>0</xdr:rowOff>
    </xdr:from>
    <xdr:ext cx="6480000" cy="4320000"/>
    <xdr:graphicFrame>
      <xdr:nvGraphicFramePr>
        <xdr:cNvPr id="2" name="Chart 1"/>
        <xdr:cNvGraphicFramePr/>
      </xdr:nvGraphicFramePr>
      <xdr:xfrm>
        <a:off x="4533900" y="2435225"/>
        <a:ext cx="647954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21</xdr:row>
      <xdr:rowOff>0</xdr:rowOff>
    </xdr:from>
    <xdr:ext cx="5760000" cy="4320000"/>
    <xdr:graphicFrame>
      <xdr:nvGraphicFramePr>
        <xdr:cNvPr id="3" name="Chart 2"/>
        <xdr:cNvGraphicFramePr/>
      </xdr:nvGraphicFramePr>
      <xdr:xfrm>
        <a:off x="4533900" y="5305425"/>
        <a:ext cx="575945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CensusDB" displayName="CensusDB" ref="A3:S53">
  <autoFilter xmlns:etc="http://www.wps.cn/officeDocument/2017/etCustomData" ref="A3:S53" etc:filterBottomFollowUsedRange="0"/>
  <tableColumns count="19">
    <tableColumn id="1" name="Record ID"/>
    <tableColumn id="2" name="Household ID"/>
    <tableColumn id="3" name="First Name"/>
    <tableColumn id="4" name="Last Name"/>
    <tableColumn id="5" name="Age"/>
    <tableColumn id="6" name="Sex"/>
    <tableColumn id="7" name="Civil Status"/>
    <tableColumn id="8" name="Education"/>
    <tableColumn id="9" name="Employment"/>
    <tableColumn id="10" name="Rel. to Head"/>
    <tableColumn id="11" name="Region"/>
    <tableColumn id="12" name="Province"/>
    <tableColumn id="13" name="Municipality"/>
    <tableColumn id="14" name="Barangay"/>
    <tableColumn id="15" name="Residence Type"/>
    <tableColumn id="16" name="Housing Type"/>
    <tableColumn id="17" name="Date Encoded"/>
    <tableColumn id="18" name="Encoder"/>
    <tableColumn id="19" name="Recor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pane ySplit="3" topLeftCell="A6" activePane="bottomLeft" state="frozen"/>
      <selection/>
      <selection pane="bottomLeft" activeCell="A2" sqref="A2:S2"/>
    </sheetView>
  </sheetViews>
  <sheetFormatPr defaultColWidth="9" defaultRowHeight="15"/>
  <cols>
    <col min="1" max="1" width="12" customWidth="1"/>
    <col min="2" max="2" width="13" customWidth="1"/>
    <col min="3" max="4" width="14" customWidth="1"/>
    <col min="5" max="5" width="7" customWidth="1"/>
    <col min="6" max="6" width="10" customWidth="1"/>
    <col min="7" max="7" width="14" customWidth="1"/>
    <col min="8" max="8" width="20" customWidth="1"/>
    <col min="9" max="9" width="18" customWidth="1"/>
    <col min="10" max="10" width="13" customWidth="1"/>
    <col min="11" max="11" width="32" customWidth="1"/>
    <col min="12" max="12" width="16" customWidth="1"/>
    <col min="13" max="13" width="14" customWidth="1"/>
    <col min="14" max="14" width="12" customWidth="1"/>
    <col min="15" max="15" width="14" customWidth="1"/>
    <col min="16" max="16" width="20" customWidth="1"/>
    <col min="17" max="17" width="13" customWidth="1"/>
    <col min="18" max="19" width="14" customWidth="1"/>
  </cols>
  <sheetData>
    <row r="1" ht="36" customHeight="1" spans="1:19">
      <c r="A1" s="53" t="s">
        <v>0</v>
      </c>
    </row>
    <row r="2" ht="18" customHeight="1" spans="1:19">
      <c r="A2" s="54" t="s">
        <v>1</v>
      </c>
    </row>
    <row r="3" ht="28" customHeight="1" spans="1:1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</row>
    <row r="4" ht="18" customHeight="1" spans="1:19">
      <c r="A4" s="55" t="s">
        <v>21</v>
      </c>
      <c r="B4" s="56" t="s">
        <v>22</v>
      </c>
      <c r="C4" s="45" t="s">
        <v>23</v>
      </c>
      <c r="D4" s="45" t="s">
        <v>24</v>
      </c>
      <c r="E4" s="57">
        <v>35</v>
      </c>
      <c r="F4" s="56" t="s">
        <v>25</v>
      </c>
      <c r="G4" s="45" t="s">
        <v>26</v>
      </c>
      <c r="H4" s="45" t="s">
        <v>27</v>
      </c>
      <c r="I4" s="45" t="s">
        <v>28</v>
      </c>
      <c r="J4" s="56" t="s">
        <v>29</v>
      </c>
      <c r="K4" s="45" t="s">
        <v>30</v>
      </c>
      <c r="L4" s="45" t="s">
        <v>31</v>
      </c>
      <c r="M4" s="45" t="s">
        <v>32</v>
      </c>
      <c r="N4" s="45" t="s">
        <v>33</v>
      </c>
      <c r="O4" s="56" t="s">
        <v>34</v>
      </c>
      <c r="P4" s="45" t="s">
        <v>35</v>
      </c>
      <c r="Q4" s="56" t="s">
        <v>36</v>
      </c>
      <c r="R4" s="56" t="s">
        <v>37</v>
      </c>
      <c r="S4" s="58" t="s">
        <v>38</v>
      </c>
    </row>
    <row r="5" ht="18" customHeight="1" spans="1:19">
      <c r="A5" s="59" t="s">
        <v>39</v>
      </c>
      <c r="B5" s="60" t="s">
        <v>40</v>
      </c>
      <c r="C5" s="46" t="s">
        <v>41</v>
      </c>
      <c r="D5" s="46" t="s">
        <v>42</v>
      </c>
      <c r="E5" s="61">
        <v>83</v>
      </c>
      <c r="F5" s="60" t="s">
        <v>25</v>
      </c>
      <c r="G5" s="46" t="s">
        <v>43</v>
      </c>
      <c r="H5" s="46" t="s">
        <v>44</v>
      </c>
      <c r="I5" s="46" t="s">
        <v>45</v>
      </c>
      <c r="J5" s="60" t="s">
        <v>29</v>
      </c>
      <c r="K5" s="46" t="s">
        <v>46</v>
      </c>
      <c r="L5" s="46" t="s">
        <v>47</v>
      </c>
      <c r="M5" s="46" t="s">
        <v>48</v>
      </c>
      <c r="N5" s="46" t="s">
        <v>49</v>
      </c>
      <c r="O5" s="60" t="s">
        <v>50</v>
      </c>
      <c r="P5" s="46" t="s">
        <v>51</v>
      </c>
      <c r="Q5" s="60" t="s">
        <v>52</v>
      </c>
      <c r="R5" s="60" t="s">
        <v>53</v>
      </c>
      <c r="S5" s="58" t="s">
        <v>38</v>
      </c>
    </row>
    <row r="6" ht="18" customHeight="1" spans="1:19">
      <c r="A6" s="55" t="s">
        <v>54</v>
      </c>
      <c r="B6" s="56" t="s">
        <v>55</v>
      </c>
      <c r="C6" s="45" t="s">
        <v>56</v>
      </c>
      <c r="D6" s="45" t="s">
        <v>57</v>
      </c>
      <c r="E6" s="57">
        <v>11</v>
      </c>
      <c r="F6" s="56" t="s">
        <v>25</v>
      </c>
      <c r="G6" s="45" t="s">
        <v>58</v>
      </c>
      <c r="H6" s="45" t="s">
        <v>59</v>
      </c>
      <c r="I6" s="45" t="s">
        <v>45</v>
      </c>
      <c r="J6" s="56" t="s">
        <v>29</v>
      </c>
      <c r="K6" s="45" t="s">
        <v>60</v>
      </c>
      <c r="L6" s="45" t="s">
        <v>61</v>
      </c>
      <c r="M6" s="45" t="s">
        <v>62</v>
      </c>
      <c r="N6" s="45" t="s">
        <v>63</v>
      </c>
      <c r="O6" s="56" t="s">
        <v>34</v>
      </c>
      <c r="P6" s="45" t="s">
        <v>35</v>
      </c>
      <c r="Q6" s="56" t="s">
        <v>64</v>
      </c>
      <c r="R6" s="56" t="s">
        <v>65</v>
      </c>
      <c r="S6" s="58" t="s">
        <v>38</v>
      </c>
    </row>
    <row r="7" ht="18" customHeight="1" spans="1:19">
      <c r="A7" s="59" t="s">
        <v>66</v>
      </c>
      <c r="B7" s="60" t="s">
        <v>67</v>
      </c>
      <c r="C7" s="46" t="s">
        <v>68</v>
      </c>
      <c r="D7" s="46" t="s">
        <v>69</v>
      </c>
      <c r="E7" s="61">
        <v>37</v>
      </c>
      <c r="F7" s="60" t="s">
        <v>70</v>
      </c>
      <c r="G7" s="46" t="s">
        <v>58</v>
      </c>
      <c r="H7" s="46" t="s">
        <v>71</v>
      </c>
      <c r="I7" s="46" t="s">
        <v>72</v>
      </c>
      <c r="J7" s="60" t="s">
        <v>29</v>
      </c>
      <c r="K7" s="46" t="s">
        <v>73</v>
      </c>
      <c r="L7" s="46" t="s">
        <v>74</v>
      </c>
      <c r="M7" s="46" t="s">
        <v>48</v>
      </c>
      <c r="N7" s="46" t="s">
        <v>75</v>
      </c>
      <c r="O7" s="60" t="s">
        <v>34</v>
      </c>
      <c r="P7" s="46" t="s">
        <v>35</v>
      </c>
      <c r="Q7" s="60" t="s">
        <v>76</v>
      </c>
      <c r="R7" s="60" t="s">
        <v>77</v>
      </c>
      <c r="S7" s="58" t="s">
        <v>38</v>
      </c>
    </row>
    <row r="8" ht="18" customHeight="1" spans="1:19">
      <c r="A8" s="55" t="s">
        <v>78</v>
      </c>
      <c r="B8" s="56" t="s">
        <v>79</v>
      </c>
      <c r="C8" s="45" t="s">
        <v>80</v>
      </c>
      <c r="D8" s="45" t="s">
        <v>81</v>
      </c>
      <c r="E8" s="57">
        <v>47</v>
      </c>
      <c r="F8" s="56" t="s">
        <v>70</v>
      </c>
      <c r="G8" s="45" t="s">
        <v>58</v>
      </c>
      <c r="H8" s="45" t="s">
        <v>82</v>
      </c>
      <c r="I8" s="45" t="s">
        <v>83</v>
      </c>
      <c r="J8" s="56" t="s">
        <v>29</v>
      </c>
      <c r="K8" s="45" t="s">
        <v>73</v>
      </c>
      <c r="L8" s="45" t="s">
        <v>31</v>
      </c>
      <c r="M8" s="45" t="s">
        <v>84</v>
      </c>
      <c r="N8" s="45" t="s">
        <v>85</v>
      </c>
      <c r="O8" s="56" t="s">
        <v>50</v>
      </c>
      <c r="P8" s="45" t="s">
        <v>86</v>
      </c>
      <c r="Q8" s="56" t="s">
        <v>87</v>
      </c>
      <c r="R8" s="56" t="s">
        <v>37</v>
      </c>
      <c r="S8" s="58" t="s">
        <v>38</v>
      </c>
    </row>
    <row r="9" ht="18" customHeight="1" spans="1:19">
      <c r="A9" s="59" t="s">
        <v>88</v>
      </c>
      <c r="B9" s="60" t="s">
        <v>89</v>
      </c>
      <c r="C9" s="46" t="s">
        <v>90</v>
      </c>
      <c r="D9" s="46" t="s">
        <v>91</v>
      </c>
      <c r="E9" s="61">
        <v>41</v>
      </c>
      <c r="F9" s="60" t="s">
        <v>70</v>
      </c>
      <c r="G9" s="46" t="s">
        <v>43</v>
      </c>
      <c r="H9" s="46" t="s">
        <v>27</v>
      </c>
      <c r="I9" s="46" t="s">
        <v>72</v>
      </c>
      <c r="J9" s="60" t="s">
        <v>29</v>
      </c>
      <c r="K9" s="46" t="s">
        <v>92</v>
      </c>
      <c r="L9" s="46" t="s">
        <v>31</v>
      </c>
      <c r="M9" s="46" t="s">
        <v>93</v>
      </c>
      <c r="N9" s="46" t="s">
        <v>94</v>
      </c>
      <c r="O9" s="60" t="s">
        <v>34</v>
      </c>
      <c r="P9" s="46" t="s">
        <v>51</v>
      </c>
      <c r="Q9" s="60" t="s">
        <v>95</v>
      </c>
      <c r="R9" s="60" t="s">
        <v>96</v>
      </c>
      <c r="S9" s="62" t="s">
        <v>97</v>
      </c>
    </row>
    <row r="10" ht="18" customHeight="1" spans="1:19">
      <c r="A10" s="55" t="s">
        <v>98</v>
      </c>
      <c r="B10" s="56" t="s">
        <v>99</v>
      </c>
      <c r="C10" s="45" t="s">
        <v>100</v>
      </c>
      <c r="D10" s="45" t="s">
        <v>101</v>
      </c>
      <c r="E10" s="57">
        <v>17</v>
      </c>
      <c r="F10" s="56" t="s">
        <v>70</v>
      </c>
      <c r="G10" s="45" t="s">
        <v>58</v>
      </c>
      <c r="H10" s="45" t="s">
        <v>102</v>
      </c>
      <c r="I10" s="45" t="s">
        <v>28</v>
      </c>
      <c r="J10" s="56" t="s">
        <v>29</v>
      </c>
      <c r="K10" s="45" t="s">
        <v>30</v>
      </c>
      <c r="L10" s="45" t="s">
        <v>103</v>
      </c>
      <c r="M10" s="45" t="s">
        <v>104</v>
      </c>
      <c r="N10" s="45" t="s">
        <v>105</v>
      </c>
      <c r="O10" s="56" t="s">
        <v>34</v>
      </c>
      <c r="P10" s="45" t="s">
        <v>106</v>
      </c>
      <c r="Q10" s="56" t="s">
        <v>107</v>
      </c>
      <c r="R10" s="56" t="s">
        <v>65</v>
      </c>
      <c r="S10" s="58" t="s">
        <v>38</v>
      </c>
    </row>
    <row r="11" ht="18" customHeight="1" spans="1:19">
      <c r="A11" s="59" t="s">
        <v>108</v>
      </c>
      <c r="B11" s="60" t="s">
        <v>67</v>
      </c>
      <c r="C11" s="46" t="s">
        <v>109</v>
      </c>
      <c r="D11" s="46" t="s">
        <v>110</v>
      </c>
      <c r="E11" s="61">
        <v>80</v>
      </c>
      <c r="F11" s="60" t="s">
        <v>25</v>
      </c>
      <c r="G11" s="46" t="s">
        <v>111</v>
      </c>
      <c r="H11" s="46" t="s">
        <v>82</v>
      </c>
      <c r="I11" s="46" t="s">
        <v>112</v>
      </c>
      <c r="J11" s="60" t="s">
        <v>113</v>
      </c>
      <c r="K11" s="46" t="s">
        <v>114</v>
      </c>
      <c r="L11" s="46" t="s">
        <v>115</v>
      </c>
      <c r="M11" s="46" t="s">
        <v>116</v>
      </c>
      <c r="N11" s="46" t="s">
        <v>117</v>
      </c>
      <c r="O11" s="60" t="s">
        <v>34</v>
      </c>
      <c r="P11" s="46" t="s">
        <v>86</v>
      </c>
      <c r="Q11" s="60" t="s">
        <v>118</v>
      </c>
      <c r="R11" s="60" t="s">
        <v>77</v>
      </c>
      <c r="S11" s="58" t="s">
        <v>38</v>
      </c>
    </row>
    <row r="12" ht="18" customHeight="1" spans="1:19">
      <c r="A12" s="55" t="s">
        <v>119</v>
      </c>
      <c r="B12" s="56" t="s">
        <v>120</v>
      </c>
      <c r="C12" s="45" t="s">
        <v>121</v>
      </c>
      <c r="D12" s="45" t="s">
        <v>57</v>
      </c>
      <c r="E12" s="57">
        <v>37</v>
      </c>
      <c r="F12" s="56" t="s">
        <v>70</v>
      </c>
      <c r="G12" s="45" t="s">
        <v>43</v>
      </c>
      <c r="H12" s="45" t="s">
        <v>82</v>
      </c>
      <c r="I12" s="45" t="s">
        <v>45</v>
      </c>
      <c r="J12" s="56" t="s">
        <v>29</v>
      </c>
      <c r="K12" s="45" t="s">
        <v>60</v>
      </c>
      <c r="L12" s="45" t="s">
        <v>122</v>
      </c>
      <c r="M12" s="45" t="s">
        <v>123</v>
      </c>
      <c r="N12" s="45" t="s">
        <v>124</v>
      </c>
      <c r="O12" s="56" t="s">
        <v>50</v>
      </c>
      <c r="P12" s="45" t="s">
        <v>86</v>
      </c>
      <c r="Q12" s="56" t="s">
        <v>76</v>
      </c>
      <c r="R12" s="56" t="s">
        <v>53</v>
      </c>
      <c r="S12" s="63" t="s">
        <v>125</v>
      </c>
    </row>
    <row r="13" ht="18" customHeight="1" spans="1:19">
      <c r="A13" s="59" t="s">
        <v>126</v>
      </c>
      <c r="B13" s="60" t="s">
        <v>55</v>
      </c>
      <c r="C13" s="46" t="s">
        <v>127</v>
      </c>
      <c r="D13" s="46" t="s">
        <v>128</v>
      </c>
      <c r="E13" s="61">
        <v>20</v>
      </c>
      <c r="F13" s="60" t="s">
        <v>25</v>
      </c>
      <c r="G13" s="46" t="s">
        <v>111</v>
      </c>
      <c r="H13" s="46" t="s">
        <v>27</v>
      </c>
      <c r="I13" s="46" t="s">
        <v>129</v>
      </c>
      <c r="J13" s="60" t="s">
        <v>130</v>
      </c>
      <c r="K13" s="46" t="s">
        <v>46</v>
      </c>
      <c r="L13" s="46" t="s">
        <v>115</v>
      </c>
      <c r="M13" s="46" t="s">
        <v>104</v>
      </c>
      <c r="N13" s="46" t="s">
        <v>124</v>
      </c>
      <c r="O13" s="60" t="s">
        <v>34</v>
      </c>
      <c r="P13" s="46" t="s">
        <v>106</v>
      </c>
      <c r="Q13" s="60" t="s">
        <v>131</v>
      </c>
      <c r="R13" s="60" t="s">
        <v>37</v>
      </c>
      <c r="S13" s="62" t="s">
        <v>97</v>
      </c>
    </row>
    <row r="14" ht="18" customHeight="1" spans="1:19">
      <c r="A14" s="55" t="s">
        <v>132</v>
      </c>
      <c r="B14" s="56" t="s">
        <v>133</v>
      </c>
      <c r="C14" s="45" t="s">
        <v>134</v>
      </c>
      <c r="D14" s="45" t="s">
        <v>24</v>
      </c>
      <c r="E14" s="57">
        <v>62</v>
      </c>
      <c r="F14" s="56" t="s">
        <v>25</v>
      </c>
      <c r="G14" s="45" t="s">
        <v>135</v>
      </c>
      <c r="H14" s="45" t="s">
        <v>71</v>
      </c>
      <c r="I14" s="45" t="s">
        <v>112</v>
      </c>
      <c r="J14" s="56" t="s">
        <v>29</v>
      </c>
      <c r="K14" s="45" t="s">
        <v>136</v>
      </c>
      <c r="L14" s="45" t="s">
        <v>115</v>
      </c>
      <c r="M14" s="45" t="s">
        <v>104</v>
      </c>
      <c r="N14" s="45" t="s">
        <v>137</v>
      </c>
      <c r="O14" s="56" t="s">
        <v>50</v>
      </c>
      <c r="P14" s="45" t="s">
        <v>106</v>
      </c>
      <c r="Q14" s="56" t="s">
        <v>138</v>
      </c>
      <c r="R14" s="56" t="s">
        <v>65</v>
      </c>
      <c r="S14" s="58" t="s">
        <v>38</v>
      </c>
    </row>
    <row r="15" ht="18" customHeight="1" spans="1:19">
      <c r="A15" s="59" t="s">
        <v>139</v>
      </c>
      <c r="B15" s="60" t="s">
        <v>140</v>
      </c>
      <c r="C15" s="46" t="s">
        <v>41</v>
      </c>
      <c r="D15" s="46" t="s">
        <v>141</v>
      </c>
      <c r="E15" s="61">
        <v>25</v>
      </c>
      <c r="F15" s="60" t="s">
        <v>25</v>
      </c>
      <c r="G15" s="46" t="s">
        <v>26</v>
      </c>
      <c r="H15" s="46" t="s">
        <v>142</v>
      </c>
      <c r="I15" s="46" t="s">
        <v>129</v>
      </c>
      <c r="J15" s="60" t="s">
        <v>29</v>
      </c>
      <c r="K15" s="46" t="s">
        <v>143</v>
      </c>
      <c r="L15" s="46" t="s">
        <v>47</v>
      </c>
      <c r="M15" s="46" t="s">
        <v>62</v>
      </c>
      <c r="N15" s="46" t="s">
        <v>49</v>
      </c>
      <c r="O15" s="60" t="s">
        <v>50</v>
      </c>
      <c r="P15" s="46" t="s">
        <v>51</v>
      </c>
      <c r="Q15" s="60" t="s">
        <v>144</v>
      </c>
      <c r="R15" s="60" t="s">
        <v>77</v>
      </c>
      <c r="S15" s="58" t="s">
        <v>38</v>
      </c>
    </row>
    <row r="16" ht="18" customHeight="1" spans="1:19">
      <c r="A16" s="55" t="s">
        <v>145</v>
      </c>
      <c r="B16" s="56" t="s">
        <v>67</v>
      </c>
      <c r="C16" s="45" t="s">
        <v>146</v>
      </c>
      <c r="D16" s="45" t="s">
        <v>91</v>
      </c>
      <c r="E16" s="57">
        <v>0</v>
      </c>
      <c r="F16" s="56" t="s">
        <v>25</v>
      </c>
      <c r="G16" s="45" t="s">
        <v>58</v>
      </c>
      <c r="H16" s="45" t="s">
        <v>147</v>
      </c>
      <c r="I16" s="45" t="s">
        <v>45</v>
      </c>
      <c r="J16" s="56" t="s">
        <v>148</v>
      </c>
      <c r="K16" s="45" t="s">
        <v>136</v>
      </c>
      <c r="L16" s="45" t="s">
        <v>103</v>
      </c>
      <c r="M16" s="45" t="s">
        <v>93</v>
      </c>
      <c r="N16" s="45" t="s">
        <v>149</v>
      </c>
      <c r="O16" s="56" t="s">
        <v>34</v>
      </c>
      <c r="P16" s="45" t="s">
        <v>35</v>
      </c>
      <c r="Q16" s="56" t="s">
        <v>87</v>
      </c>
      <c r="R16" s="56" t="s">
        <v>53</v>
      </c>
      <c r="S16" s="58" t="s">
        <v>38</v>
      </c>
    </row>
    <row r="17" ht="18" customHeight="1" spans="1:19">
      <c r="A17" s="59" t="s">
        <v>150</v>
      </c>
      <c r="B17" s="60" t="s">
        <v>151</v>
      </c>
      <c r="C17" s="46" t="s">
        <v>41</v>
      </c>
      <c r="D17" s="46" t="s">
        <v>110</v>
      </c>
      <c r="E17" s="61">
        <v>73</v>
      </c>
      <c r="F17" s="60" t="s">
        <v>25</v>
      </c>
      <c r="G17" s="46" t="s">
        <v>58</v>
      </c>
      <c r="H17" s="46" t="s">
        <v>27</v>
      </c>
      <c r="I17" s="46" t="s">
        <v>83</v>
      </c>
      <c r="J17" s="60" t="s">
        <v>29</v>
      </c>
      <c r="K17" s="46" t="s">
        <v>152</v>
      </c>
      <c r="L17" s="46" t="s">
        <v>31</v>
      </c>
      <c r="M17" s="46" t="s">
        <v>123</v>
      </c>
      <c r="N17" s="46" t="s">
        <v>153</v>
      </c>
      <c r="O17" s="60" t="s">
        <v>34</v>
      </c>
      <c r="P17" s="46" t="s">
        <v>106</v>
      </c>
      <c r="Q17" s="60" t="s">
        <v>154</v>
      </c>
      <c r="R17" s="60" t="s">
        <v>96</v>
      </c>
      <c r="S17" s="62" t="s">
        <v>97</v>
      </c>
    </row>
    <row r="18" ht="18" customHeight="1" spans="1:19">
      <c r="A18" s="55" t="s">
        <v>155</v>
      </c>
      <c r="B18" s="56" t="s">
        <v>151</v>
      </c>
      <c r="C18" s="45" t="s">
        <v>109</v>
      </c>
      <c r="D18" s="45" t="s">
        <v>156</v>
      </c>
      <c r="E18" s="57">
        <v>51</v>
      </c>
      <c r="F18" s="56" t="s">
        <v>25</v>
      </c>
      <c r="G18" s="45" t="s">
        <v>26</v>
      </c>
      <c r="H18" s="45" t="s">
        <v>142</v>
      </c>
      <c r="I18" s="45" t="s">
        <v>72</v>
      </c>
      <c r="J18" s="56" t="s">
        <v>157</v>
      </c>
      <c r="K18" s="45" t="s">
        <v>73</v>
      </c>
      <c r="L18" s="45" t="s">
        <v>115</v>
      </c>
      <c r="M18" s="45" t="s">
        <v>158</v>
      </c>
      <c r="N18" s="45" t="s">
        <v>159</v>
      </c>
      <c r="O18" s="56" t="s">
        <v>34</v>
      </c>
      <c r="P18" s="45" t="s">
        <v>51</v>
      </c>
      <c r="Q18" s="56" t="s">
        <v>160</v>
      </c>
      <c r="R18" s="56" t="s">
        <v>37</v>
      </c>
      <c r="S18" s="62" t="s">
        <v>97</v>
      </c>
    </row>
    <row r="19" ht="18" customHeight="1" spans="1:19">
      <c r="A19" s="59" t="s">
        <v>161</v>
      </c>
      <c r="B19" s="60" t="s">
        <v>67</v>
      </c>
      <c r="C19" s="46" t="s">
        <v>162</v>
      </c>
      <c r="D19" s="46" t="s">
        <v>69</v>
      </c>
      <c r="E19" s="61">
        <v>12</v>
      </c>
      <c r="F19" s="60" t="s">
        <v>25</v>
      </c>
      <c r="G19" s="46" t="s">
        <v>58</v>
      </c>
      <c r="H19" s="46" t="s">
        <v>59</v>
      </c>
      <c r="I19" s="46" t="s">
        <v>45</v>
      </c>
      <c r="J19" s="60" t="s">
        <v>163</v>
      </c>
      <c r="K19" s="46" t="s">
        <v>92</v>
      </c>
      <c r="L19" s="46" t="s">
        <v>164</v>
      </c>
      <c r="M19" s="46" t="s">
        <v>104</v>
      </c>
      <c r="N19" s="46" t="s">
        <v>124</v>
      </c>
      <c r="O19" s="60" t="s">
        <v>50</v>
      </c>
      <c r="P19" s="46" t="s">
        <v>165</v>
      </c>
      <c r="Q19" s="60" t="s">
        <v>166</v>
      </c>
      <c r="R19" s="60" t="s">
        <v>37</v>
      </c>
      <c r="S19" s="62" t="s">
        <v>97</v>
      </c>
    </row>
    <row r="20" ht="18" customHeight="1" spans="1:19">
      <c r="A20" s="55" t="s">
        <v>167</v>
      </c>
      <c r="B20" s="56" t="s">
        <v>168</v>
      </c>
      <c r="C20" s="45" t="s">
        <v>169</v>
      </c>
      <c r="D20" s="45" t="s">
        <v>170</v>
      </c>
      <c r="E20" s="57">
        <v>0</v>
      </c>
      <c r="F20" s="56" t="s">
        <v>25</v>
      </c>
      <c r="G20" s="45" t="s">
        <v>58</v>
      </c>
      <c r="H20" s="45" t="s">
        <v>147</v>
      </c>
      <c r="I20" s="45" t="s">
        <v>45</v>
      </c>
      <c r="J20" s="56" t="s">
        <v>29</v>
      </c>
      <c r="K20" s="45" t="s">
        <v>60</v>
      </c>
      <c r="L20" s="45" t="s">
        <v>171</v>
      </c>
      <c r="M20" s="45" t="s">
        <v>123</v>
      </c>
      <c r="N20" s="45" t="s">
        <v>172</v>
      </c>
      <c r="O20" s="56" t="s">
        <v>34</v>
      </c>
      <c r="P20" s="45" t="s">
        <v>51</v>
      </c>
      <c r="Q20" s="56" t="s">
        <v>173</v>
      </c>
      <c r="R20" s="56" t="s">
        <v>37</v>
      </c>
      <c r="S20" s="64" t="s">
        <v>174</v>
      </c>
    </row>
    <row r="21" ht="18" customHeight="1" spans="1:19">
      <c r="A21" s="59" t="s">
        <v>175</v>
      </c>
      <c r="B21" s="60" t="s">
        <v>176</v>
      </c>
      <c r="C21" s="46" t="s">
        <v>56</v>
      </c>
      <c r="D21" s="46" t="s">
        <v>156</v>
      </c>
      <c r="E21" s="61">
        <v>6</v>
      </c>
      <c r="F21" s="60" t="s">
        <v>25</v>
      </c>
      <c r="G21" s="46" t="s">
        <v>58</v>
      </c>
      <c r="H21" s="46" t="s">
        <v>59</v>
      </c>
      <c r="I21" s="46" t="s">
        <v>45</v>
      </c>
      <c r="J21" s="60" t="s">
        <v>29</v>
      </c>
      <c r="K21" s="46" t="s">
        <v>152</v>
      </c>
      <c r="L21" s="46" t="s">
        <v>177</v>
      </c>
      <c r="M21" s="46" t="s">
        <v>104</v>
      </c>
      <c r="N21" s="46" t="s">
        <v>178</v>
      </c>
      <c r="O21" s="60" t="s">
        <v>50</v>
      </c>
      <c r="P21" s="46" t="s">
        <v>51</v>
      </c>
      <c r="Q21" s="60" t="s">
        <v>179</v>
      </c>
      <c r="R21" s="60" t="s">
        <v>77</v>
      </c>
      <c r="S21" s="58" t="s">
        <v>38</v>
      </c>
    </row>
    <row r="22" ht="18" customHeight="1" spans="1:19">
      <c r="A22" s="55" t="s">
        <v>180</v>
      </c>
      <c r="B22" s="56" t="s">
        <v>55</v>
      </c>
      <c r="C22" s="45" t="s">
        <v>181</v>
      </c>
      <c r="D22" s="45" t="s">
        <v>57</v>
      </c>
      <c r="E22" s="57">
        <v>72</v>
      </c>
      <c r="F22" s="56" t="s">
        <v>25</v>
      </c>
      <c r="G22" s="45" t="s">
        <v>111</v>
      </c>
      <c r="H22" s="45" t="s">
        <v>71</v>
      </c>
      <c r="I22" s="45" t="s">
        <v>28</v>
      </c>
      <c r="J22" s="56" t="s">
        <v>148</v>
      </c>
      <c r="K22" s="45" t="s">
        <v>30</v>
      </c>
      <c r="L22" s="45" t="s">
        <v>74</v>
      </c>
      <c r="M22" s="45" t="s">
        <v>182</v>
      </c>
      <c r="N22" s="45" t="s">
        <v>183</v>
      </c>
      <c r="O22" s="56" t="s">
        <v>34</v>
      </c>
      <c r="P22" s="45" t="s">
        <v>106</v>
      </c>
      <c r="Q22" s="56" t="s">
        <v>118</v>
      </c>
      <c r="R22" s="56" t="s">
        <v>53</v>
      </c>
      <c r="S22" s="58" t="s">
        <v>38</v>
      </c>
    </row>
    <row r="23" ht="18" customHeight="1" spans="1:19">
      <c r="A23" s="59" t="s">
        <v>184</v>
      </c>
      <c r="B23" s="60" t="s">
        <v>79</v>
      </c>
      <c r="C23" s="46" t="s">
        <v>100</v>
      </c>
      <c r="D23" s="46" t="s">
        <v>185</v>
      </c>
      <c r="E23" s="61">
        <v>82</v>
      </c>
      <c r="F23" s="60" t="s">
        <v>70</v>
      </c>
      <c r="G23" s="46" t="s">
        <v>58</v>
      </c>
      <c r="H23" s="46" t="s">
        <v>142</v>
      </c>
      <c r="I23" s="46" t="s">
        <v>28</v>
      </c>
      <c r="J23" s="60" t="s">
        <v>148</v>
      </c>
      <c r="K23" s="46" t="s">
        <v>143</v>
      </c>
      <c r="L23" s="46" t="s">
        <v>186</v>
      </c>
      <c r="M23" s="46" t="s">
        <v>62</v>
      </c>
      <c r="N23" s="46" t="s">
        <v>187</v>
      </c>
      <c r="O23" s="60" t="s">
        <v>50</v>
      </c>
      <c r="P23" s="46" t="s">
        <v>35</v>
      </c>
      <c r="Q23" s="60" t="s">
        <v>188</v>
      </c>
      <c r="R23" s="60" t="s">
        <v>65</v>
      </c>
      <c r="S23" s="58" t="s">
        <v>38</v>
      </c>
    </row>
    <row r="24" ht="18" customHeight="1" spans="1:19">
      <c r="A24" s="55" t="s">
        <v>189</v>
      </c>
      <c r="B24" s="56" t="s">
        <v>190</v>
      </c>
      <c r="C24" s="45" t="s">
        <v>68</v>
      </c>
      <c r="D24" s="45" t="s">
        <v>91</v>
      </c>
      <c r="E24" s="57">
        <v>47</v>
      </c>
      <c r="F24" s="56" t="s">
        <v>70</v>
      </c>
      <c r="G24" s="45" t="s">
        <v>43</v>
      </c>
      <c r="H24" s="45" t="s">
        <v>82</v>
      </c>
      <c r="I24" s="45" t="s">
        <v>45</v>
      </c>
      <c r="J24" s="56" t="s">
        <v>29</v>
      </c>
      <c r="K24" s="45" t="s">
        <v>143</v>
      </c>
      <c r="L24" s="45" t="s">
        <v>122</v>
      </c>
      <c r="M24" s="45" t="s">
        <v>123</v>
      </c>
      <c r="N24" s="45" t="s">
        <v>105</v>
      </c>
      <c r="O24" s="56" t="s">
        <v>50</v>
      </c>
      <c r="P24" s="45" t="s">
        <v>191</v>
      </c>
      <c r="Q24" s="56" t="s">
        <v>192</v>
      </c>
      <c r="R24" s="56" t="s">
        <v>77</v>
      </c>
      <c r="S24" s="64" t="s">
        <v>174</v>
      </c>
    </row>
    <row r="25" ht="18" customHeight="1" spans="1:19">
      <c r="A25" s="59" t="s">
        <v>193</v>
      </c>
      <c r="B25" s="60" t="s">
        <v>55</v>
      </c>
      <c r="C25" s="46" t="s">
        <v>194</v>
      </c>
      <c r="D25" s="46" t="s">
        <v>57</v>
      </c>
      <c r="E25" s="61">
        <v>13</v>
      </c>
      <c r="F25" s="60" t="s">
        <v>25</v>
      </c>
      <c r="G25" s="46" t="s">
        <v>58</v>
      </c>
      <c r="H25" s="46" t="s">
        <v>27</v>
      </c>
      <c r="I25" s="46" t="s">
        <v>45</v>
      </c>
      <c r="J25" s="60" t="s">
        <v>157</v>
      </c>
      <c r="K25" s="46" t="s">
        <v>46</v>
      </c>
      <c r="L25" s="46" t="s">
        <v>122</v>
      </c>
      <c r="M25" s="46" t="s">
        <v>84</v>
      </c>
      <c r="N25" s="46" t="s">
        <v>172</v>
      </c>
      <c r="O25" s="60" t="s">
        <v>50</v>
      </c>
      <c r="P25" s="46" t="s">
        <v>191</v>
      </c>
      <c r="Q25" s="60" t="s">
        <v>138</v>
      </c>
      <c r="R25" s="60" t="s">
        <v>53</v>
      </c>
      <c r="S25" s="58" t="s">
        <v>38</v>
      </c>
    </row>
    <row r="26" ht="18" customHeight="1" spans="1:19">
      <c r="A26" s="55" t="s">
        <v>195</v>
      </c>
      <c r="B26" s="56" t="s">
        <v>196</v>
      </c>
      <c r="C26" s="45" t="s">
        <v>197</v>
      </c>
      <c r="D26" s="45" t="s">
        <v>198</v>
      </c>
      <c r="E26" s="57">
        <v>81</v>
      </c>
      <c r="F26" s="56" t="s">
        <v>70</v>
      </c>
      <c r="G26" s="45" t="s">
        <v>43</v>
      </c>
      <c r="H26" s="45" t="s">
        <v>44</v>
      </c>
      <c r="I26" s="45" t="s">
        <v>72</v>
      </c>
      <c r="J26" s="56" t="s">
        <v>29</v>
      </c>
      <c r="K26" s="45" t="s">
        <v>60</v>
      </c>
      <c r="L26" s="45" t="s">
        <v>199</v>
      </c>
      <c r="M26" s="45" t="s">
        <v>84</v>
      </c>
      <c r="N26" s="45" t="s">
        <v>183</v>
      </c>
      <c r="O26" s="56" t="s">
        <v>34</v>
      </c>
      <c r="P26" s="45" t="s">
        <v>51</v>
      </c>
      <c r="Q26" s="56" t="s">
        <v>64</v>
      </c>
      <c r="R26" s="56" t="s">
        <v>65</v>
      </c>
      <c r="S26" s="63" t="s">
        <v>125</v>
      </c>
    </row>
    <row r="27" ht="18" customHeight="1" spans="1:19">
      <c r="A27" s="59" t="s">
        <v>200</v>
      </c>
      <c r="B27" s="60" t="s">
        <v>201</v>
      </c>
      <c r="C27" s="46" t="s">
        <v>109</v>
      </c>
      <c r="D27" s="46" t="s">
        <v>198</v>
      </c>
      <c r="E27" s="61">
        <v>19</v>
      </c>
      <c r="F27" s="60" t="s">
        <v>25</v>
      </c>
      <c r="G27" s="46" t="s">
        <v>135</v>
      </c>
      <c r="H27" s="46" t="s">
        <v>142</v>
      </c>
      <c r="I27" s="46" t="s">
        <v>72</v>
      </c>
      <c r="J27" s="60" t="s">
        <v>29</v>
      </c>
      <c r="K27" s="46" t="s">
        <v>46</v>
      </c>
      <c r="L27" s="46" t="s">
        <v>202</v>
      </c>
      <c r="M27" s="46" t="s">
        <v>62</v>
      </c>
      <c r="N27" s="46" t="s">
        <v>203</v>
      </c>
      <c r="O27" s="60" t="s">
        <v>50</v>
      </c>
      <c r="P27" s="46" t="s">
        <v>106</v>
      </c>
      <c r="Q27" s="60" t="s">
        <v>204</v>
      </c>
      <c r="R27" s="60" t="s">
        <v>77</v>
      </c>
      <c r="S27" s="62" t="s">
        <v>97</v>
      </c>
    </row>
    <row r="28" ht="18" customHeight="1" spans="1:19">
      <c r="A28" s="55" t="s">
        <v>205</v>
      </c>
      <c r="B28" s="56" t="s">
        <v>55</v>
      </c>
      <c r="C28" s="45" t="s">
        <v>206</v>
      </c>
      <c r="D28" s="45" t="s">
        <v>185</v>
      </c>
      <c r="E28" s="57">
        <v>13</v>
      </c>
      <c r="F28" s="56" t="s">
        <v>25</v>
      </c>
      <c r="G28" s="45" t="s">
        <v>58</v>
      </c>
      <c r="H28" s="45" t="s">
        <v>59</v>
      </c>
      <c r="I28" s="45" t="s">
        <v>45</v>
      </c>
      <c r="J28" s="56" t="s">
        <v>207</v>
      </c>
      <c r="K28" s="45" t="s">
        <v>73</v>
      </c>
      <c r="L28" s="45" t="s">
        <v>115</v>
      </c>
      <c r="M28" s="45" t="s">
        <v>104</v>
      </c>
      <c r="N28" s="45" t="s">
        <v>153</v>
      </c>
      <c r="O28" s="56" t="s">
        <v>50</v>
      </c>
      <c r="P28" s="45" t="s">
        <v>51</v>
      </c>
      <c r="Q28" s="56" t="s">
        <v>208</v>
      </c>
      <c r="R28" s="56" t="s">
        <v>77</v>
      </c>
      <c r="S28" s="58" t="s">
        <v>38</v>
      </c>
    </row>
    <row r="29" ht="18" customHeight="1" spans="1:19">
      <c r="A29" s="59" t="s">
        <v>209</v>
      </c>
      <c r="B29" s="60" t="s">
        <v>210</v>
      </c>
      <c r="C29" s="46" t="s">
        <v>211</v>
      </c>
      <c r="D29" s="46" t="s">
        <v>185</v>
      </c>
      <c r="E29" s="61">
        <v>31</v>
      </c>
      <c r="F29" s="60" t="s">
        <v>70</v>
      </c>
      <c r="G29" s="46" t="s">
        <v>58</v>
      </c>
      <c r="H29" s="46" t="s">
        <v>44</v>
      </c>
      <c r="I29" s="46" t="s">
        <v>112</v>
      </c>
      <c r="J29" s="60" t="s">
        <v>29</v>
      </c>
      <c r="K29" s="46" t="s">
        <v>143</v>
      </c>
      <c r="L29" s="46" t="s">
        <v>122</v>
      </c>
      <c r="M29" s="46" t="s">
        <v>158</v>
      </c>
      <c r="N29" s="46" t="s">
        <v>212</v>
      </c>
      <c r="O29" s="60" t="s">
        <v>50</v>
      </c>
      <c r="P29" s="46" t="s">
        <v>51</v>
      </c>
      <c r="Q29" s="60" t="s">
        <v>213</v>
      </c>
      <c r="R29" s="60" t="s">
        <v>53</v>
      </c>
      <c r="S29" s="63" t="s">
        <v>125</v>
      </c>
    </row>
    <row r="30" ht="18" customHeight="1" spans="1:19">
      <c r="A30" s="55" t="s">
        <v>214</v>
      </c>
      <c r="B30" s="56" t="s">
        <v>210</v>
      </c>
      <c r="C30" s="45" t="s">
        <v>206</v>
      </c>
      <c r="D30" s="45" t="s">
        <v>215</v>
      </c>
      <c r="E30" s="57">
        <v>84</v>
      </c>
      <c r="F30" s="56" t="s">
        <v>25</v>
      </c>
      <c r="G30" s="45" t="s">
        <v>43</v>
      </c>
      <c r="H30" s="45" t="s">
        <v>216</v>
      </c>
      <c r="I30" s="45" t="s">
        <v>83</v>
      </c>
      <c r="J30" s="56" t="s">
        <v>148</v>
      </c>
      <c r="K30" s="45" t="s">
        <v>30</v>
      </c>
      <c r="L30" s="45" t="s">
        <v>47</v>
      </c>
      <c r="M30" s="45" t="s">
        <v>62</v>
      </c>
      <c r="N30" s="45" t="s">
        <v>217</v>
      </c>
      <c r="O30" s="56" t="s">
        <v>34</v>
      </c>
      <c r="P30" s="45" t="s">
        <v>191</v>
      </c>
      <c r="Q30" s="56" t="s">
        <v>218</v>
      </c>
      <c r="R30" s="56" t="s">
        <v>77</v>
      </c>
      <c r="S30" s="58" t="s">
        <v>38</v>
      </c>
    </row>
    <row r="31" ht="18" customHeight="1" spans="1:19">
      <c r="A31" s="59" t="s">
        <v>219</v>
      </c>
      <c r="B31" s="60" t="s">
        <v>220</v>
      </c>
      <c r="C31" s="46" t="s">
        <v>221</v>
      </c>
      <c r="D31" s="46" t="s">
        <v>222</v>
      </c>
      <c r="E31" s="61">
        <v>33</v>
      </c>
      <c r="F31" s="60" t="s">
        <v>70</v>
      </c>
      <c r="G31" s="46" t="s">
        <v>43</v>
      </c>
      <c r="H31" s="46" t="s">
        <v>142</v>
      </c>
      <c r="I31" s="46" t="s">
        <v>28</v>
      </c>
      <c r="J31" s="60" t="s">
        <v>29</v>
      </c>
      <c r="K31" s="46" t="s">
        <v>92</v>
      </c>
      <c r="L31" s="46" t="s">
        <v>61</v>
      </c>
      <c r="M31" s="46" t="s">
        <v>182</v>
      </c>
      <c r="N31" s="46" t="s">
        <v>223</v>
      </c>
      <c r="O31" s="60" t="s">
        <v>50</v>
      </c>
      <c r="P31" s="46" t="s">
        <v>165</v>
      </c>
      <c r="Q31" s="60" t="s">
        <v>188</v>
      </c>
      <c r="R31" s="60" t="s">
        <v>53</v>
      </c>
      <c r="S31" s="58" t="s">
        <v>38</v>
      </c>
    </row>
    <row r="32" ht="18" customHeight="1" spans="1:19">
      <c r="A32" s="55" t="s">
        <v>224</v>
      </c>
      <c r="B32" s="56" t="s">
        <v>225</v>
      </c>
      <c r="C32" s="45" t="s">
        <v>226</v>
      </c>
      <c r="D32" s="45" t="s">
        <v>227</v>
      </c>
      <c r="E32" s="57">
        <v>68</v>
      </c>
      <c r="F32" s="56" t="s">
        <v>70</v>
      </c>
      <c r="G32" s="45" t="s">
        <v>43</v>
      </c>
      <c r="H32" s="45" t="s">
        <v>82</v>
      </c>
      <c r="I32" s="45" t="s">
        <v>228</v>
      </c>
      <c r="J32" s="56" t="s">
        <v>29</v>
      </c>
      <c r="K32" s="45" t="s">
        <v>30</v>
      </c>
      <c r="L32" s="45" t="s">
        <v>229</v>
      </c>
      <c r="M32" s="45" t="s">
        <v>116</v>
      </c>
      <c r="N32" s="45" t="s">
        <v>230</v>
      </c>
      <c r="O32" s="56" t="s">
        <v>50</v>
      </c>
      <c r="P32" s="45" t="s">
        <v>191</v>
      </c>
      <c r="Q32" s="56" t="s">
        <v>231</v>
      </c>
      <c r="R32" s="56" t="s">
        <v>53</v>
      </c>
      <c r="S32" s="58" t="s">
        <v>38</v>
      </c>
    </row>
    <row r="33" ht="18" customHeight="1" spans="1:19">
      <c r="A33" s="59" t="s">
        <v>232</v>
      </c>
      <c r="B33" s="60" t="s">
        <v>225</v>
      </c>
      <c r="C33" s="46" t="s">
        <v>233</v>
      </c>
      <c r="D33" s="46" t="s">
        <v>234</v>
      </c>
      <c r="E33" s="61">
        <v>37</v>
      </c>
      <c r="F33" s="60" t="s">
        <v>70</v>
      </c>
      <c r="G33" s="46" t="s">
        <v>135</v>
      </c>
      <c r="H33" s="46" t="s">
        <v>82</v>
      </c>
      <c r="I33" s="46" t="s">
        <v>28</v>
      </c>
      <c r="J33" s="60" t="s">
        <v>113</v>
      </c>
      <c r="K33" s="46" t="s">
        <v>46</v>
      </c>
      <c r="L33" s="46" t="s">
        <v>122</v>
      </c>
      <c r="M33" s="46" t="s">
        <v>48</v>
      </c>
      <c r="N33" s="46" t="s">
        <v>153</v>
      </c>
      <c r="O33" s="60" t="s">
        <v>34</v>
      </c>
      <c r="P33" s="46" t="s">
        <v>165</v>
      </c>
      <c r="Q33" s="60" t="s">
        <v>235</v>
      </c>
      <c r="R33" s="60" t="s">
        <v>77</v>
      </c>
      <c r="S33" s="58" t="s">
        <v>38</v>
      </c>
    </row>
    <row r="34" ht="18" customHeight="1" spans="1:19">
      <c r="A34" s="55" t="s">
        <v>236</v>
      </c>
      <c r="B34" s="56" t="s">
        <v>225</v>
      </c>
      <c r="C34" s="45" t="s">
        <v>237</v>
      </c>
      <c r="D34" s="45" t="s">
        <v>222</v>
      </c>
      <c r="E34" s="57">
        <v>77</v>
      </c>
      <c r="F34" s="56" t="s">
        <v>25</v>
      </c>
      <c r="G34" s="45" t="s">
        <v>26</v>
      </c>
      <c r="H34" s="45" t="s">
        <v>142</v>
      </c>
      <c r="I34" s="45" t="s">
        <v>45</v>
      </c>
      <c r="J34" s="56" t="s">
        <v>157</v>
      </c>
      <c r="K34" s="45" t="s">
        <v>73</v>
      </c>
      <c r="L34" s="45" t="s">
        <v>186</v>
      </c>
      <c r="M34" s="45" t="s">
        <v>123</v>
      </c>
      <c r="N34" s="45" t="s">
        <v>49</v>
      </c>
      <c r="O34" s="56" t="s">
        <v>50</v>
      </c>
      <c r="P34" s="45" t="s">
        <v>191</v>
      </c>
      <c r="Q34" s="56" t="s">
        <v>173</v>
      </c>
      <c r="R34" s="56" t="s">
        <v>65</v>
      </c>
      <c r="S34" s="58" t="s">
        <v>38</v>
      </c>
    </row>
    <row r="35" ht="18" customHeight="1" spans="1:19">
      <c r="A35" s="59" t="s">
        <v>238</v>
      </c>
      <c r="B35" s="60" t="s">
        <v>196</v>
      </c>
      <c r="C35" s="46" t="s">
        <v>68</v>
      </c>
      <c r="D35" s="46" t="s">
        <v>141</v>
      </c>
      <c r="E35" s="61">
        <v>30</v>
      </c>
      <c r="F35" s="60" t="s">
        <v>70</v>
      </c>
      <c r="G35" s="46" t="s">
        <v>135</v>
      </c>
      <c r="H35" s="46" t="s">
        <v>142</v>
      </c>
      <c r="I35" s="46" t="s">
        <v>28</v>
      </c>
      <c r="J35" s="60" t="s">
        <v>148</v>
      </c>
      <c r="K35" s="46" t="s">
        <v>143</v>
      </c>
      <c r="L35" s="46" t="s">
        <v>31</v>
      </c>
      <c r="M35" s="46" t="s">
        <v>48</v>
      </c>
      <c r="N35" s="46" t="s">
        <v>239</v>
      </c>
      <c r="O35" s="60" t="s">
        <v>50</v>
      </c>
      <c r="P35" s="46" t="s">
        <v>165</v>
      </c>
      <c r="Q35" s="60" t="s">
        <v>240</v>
      </c>
      <c r="R35" s="60" t="s">
        <v>65</v>
      </c>
      <c r="S35" s="58" t="s">
        <v>38</v>
      </c>
    </row>
    <row r="36" ht="18" customHeight="1" spans="1:19">
      <c r="A36" s="55" t="s">
        <v>241</v>
      </c>
      <c r="B36" s="56" t="s">
        <v>210</v>
      </c>
      <c r="C36" s="45" t="s">
        <v>242</v>
      </c>
      <c r="D36" s="45" t="s">
        <v>170</v>
      </c>
      <c r="E36" s="57">
        <v>31</v>
      </c>
      <c r="F36" s="56" t="s">
        <v>70</v>
      </c>
      <c r="G36" s="45" t="s">
        <v>58</v>
      </c>
      <c r="H36" s="45" t="s">
        <v>44</v>
      </c>
      <c r="I36" s="45" t="s">
        <v>112</v>
      </c>
      <c r="J36" s="56" t="s">
        <v>163</v>
      </c>
      <c r="K36" s="45" t="s">
        <v>114</v>
      </c>
      <c r="L36" s="45" t="s">
        <v>164</v>
      </c>
      <c r="M36" s="45" t="s">
        <v>93</v>
      </c>
      <c r="N36" s="45" t="s">
        <v>187</v>
      </c>
      <c r="O36" s="56" t="s">
        <v>50</v>
      </c>
      <c r="P36" s="45" t="s">
        <v>51</v>
      </c>
      <c r="Q36" s="56" t="s">
        <v>243</v>
      </c>
      <c r="R36" s="56" t="s">
        <v>96</v>
      </c>
      <c r="S36" s="58" t="s">
        <v>38</v>
      </c>
    </row>
    <row r="37" ht="18" customHeight="1" spans="1:19">
      <c r="A37" s="59" t="s">
        <v>244</v>
      </c>
      <c r="B37" s="60" t="s">
        <v>55</v>
      </c>
      <c r="C37" s="46" t="s">
        <v>109</v>
      </c>
      <c r="D37" s="46" t="s">
        <v>245</v>
      </c>
      <c r="E37" s="61">
        <v>17</v>
      </c>
      <c r="F37" s="60" t="s">
        <v>25</v>
      </c>
      <c r="G37" s="46" t="s">
        <v>58</v>
      </c>
      <c r="H37" s="46" t="s">
        <v>102</v>
      </c>
      <c r="I37" s="46" t="s">
        <v>28</v>
      </c>
      <c r="J37" s="60" t="s">
        <v>130</v>
      </c>
      <c r="K37" s="46" t="s">
        <v>152</v>
      </c>
      <c r="L37" s="46" t="s">
        <v>164</v>
      </c>
      <c r="M37" s="46" t="s">
        <v>104</v>
      </c>
      <c r="N37" s="46" t="s">
        <v>246</v>
      </c>
      <c r="O37" s="60" t="s">
        <v>34</v>
      </c>
      <c r="P37" s="46" t="s">
        <v>86</v>
      </c>
      <c r="Q37" s="60" t="s">
        <v>247</v>
      </c>
      <c r="R37" s="60" t="s">
        <v>96</v>
      </c>
      <c r="S37" s="58" t="s">
        <v>38</v>
      </c>
    </row>
    <row r="38" ht="18" customHeight="1" spans="1:19">
      <c r="A38" s="55" t="s">
        <v>248</v>
      </c>
      <c r="B38" s="56" t="s">
        <v>249</v>
      </c>
      <c r="C38" s="45" t="s">
        <v>194</v>
      </c>
      <c r="D38" s="45" t="s">
        <v>141</v>
      </c>
      <c r="E38" s="57">
        <v>66</v>
      </c>
      <c r="F38" s="56" t="s">
        <v>25</v>
      </c>
      <c r="G38" s="45" t="s">
        <v>58</v>
      </c>
      <c r="H38" s="45" t="s">
        <v>71</v>
      </c>
      <c r="I38" s="45" t="s">
        <v>228</v>
      </c>
      <c r="J38" s="56" t="s">
        <v>29</v>
      </c>
      <c r="K38" s="45" t="s">
        <v>152</v>
      </c>
      <c r="L38" s="45" t="s">
        <v>164</v>
      </c>
      <c r="M38" s="45" t="s">
        <v>48</v>
      </c>
      <c r="N38" s="45" t="s">
        <v>217</v>
      </c>
      <c r="O38" s="56" t="s">
        <v>50</v>
      </c>
      <c r="P38" s="45" t="s">
        <v>106</v>
      </c>
      <c r="Q38" s="56" t="s">
        <v>250</v>
      </c>
      <c r="R38" s="56" t="s">
        <v>65</v>
      </c>
      <c r="S38" s="58" t="s">
        <v>38</v>
      </c>
    </row>
    <row r="39" ht="18" customHeight="1" spans="1:19">
      <c r="A39" s="59" t="s">
        <v>251</v>
      </c>
      <c r="B39" s="60" t="s">
        <v>252</v>
      </c>
      <c r="C39" s="46" t="s">
        <v>206</v>
      </c>
      <c r="D39" s="46" t="s">
        <v>170</v>
      </c>
      <c r="E39" s="61">
        <v>19</v>
      </c>
      <c r="F39" s="60" t="s">
        <v>25</v>
      </c>
      <c r="G39" s="46" t="s">
        <v>26</v>
      </c>
      <c r="H39" s="46" t="s">
        <v>142</v>
      </c>
      <c r="I39" s="46" t="s">
        <v>112</v>
      </c>
      <c r="J39" s="60" t="s">
        <v>29</v>
      </c>
      <c r="K39" s="46" t="s">
        <v>30</v>
      </c>
      <c r="L39" s="46" t="s">
        <v>61</v>
      </c>
      <c r="M39" s="46" t="s">
        <v>116</v>
      </c>
      <c r="N39" s="46" t="s">
        <v>153</v>
      </c>
      <c r="O39" s="60" t="s">
        <v>50</v>
      </c>
      <c r="P39" s="46" t="s">
        <v>51</v>
      </c>
      <c r="Q39" s="60" t="s">
        <v>253</v>
      </c>
      <c r="R39" s="60" t="s">
        <v>65</v>
      </c>
      <c r="S39" s="64" t="s">
        <v>174</v>
      </c>
    </row>
    <row r="40" ht="18" customHeight="1" spans="1:19">
      <c r="A40" s="55" t="s">
        <v>254</v>
      </c>
      <c r="B40" s="56" t="s">
        <v>89</v>
      </c>
      <c r="C40" s="45" t="s">
        <v>146</v>
      </c>
      <c r="D40" s="45" t="s">
        <v>170</v>
      </c>
      <c r="E40" s="57">
        <v>61</v>
      </c>
      <c r="F40" s="56" t="s">
        <v>25</v>
      </c>
      <c r="G40" s="45" t="s">
        <v>111</v>
      </c>
      <c r="H40" s="45" t="s">
        <v>82</v>
      </c>
      <c r="I40" s="45" t="s">
        <v>83</v>
      </c>
      <c r="J40" s="56" t="s">
        <v>163</v>
      </c>
      <c r="K40" s="45" t="s">
        <v>92</v>
      </c>
      <c r="L40" s="45" t="s">
        <v>229</v>
      </c>
      <c r="M40" s="45" t="s">
        <v>84</v>
      </c>
      <c r="N40" s="45" t="s">
        <v>187</v>
      </c>
      <c r="O40" s="56" t="s">
        <v>50</v>
      </c>
      <c r="P40" s="45" t="s">
        <v>165</v>
      </c>
      <c r="Q40" s="56" t="s">
        <v>255</v>
      </c>
      <c r="R40" s="56" t="s">
        <v>96</v>
      </c>
      <c r="S40" s="58" t="s">
        <v>38</v>
      </c>
    </row>
    <row r="41" ht="18" customHeight="1" spans="1:19">
      <c r="A41" s="59" t="s">
        <v>256</v>
      </c>
      <c r="B41" s="60" t="s">
        <v>55</v>
      </c>
      <c r="C41" s="46" t="s">
        <v>121</v>
      </c>
      <c r="D41" s="46" t="s">
        <v>185</v>
      </c>
      <c r="E41" s="61">
        <v>51</v>
      </c>
      <c r="F41" s="60" t="s">
        <v>70</v>
      </c>
      <c r="G41" s="46" t="s">
        <v>58</v>
      </c>
      <c r="H41" s="46" t="s">
        <v>142</v>
      </c>
      <c r="I41" s="46" t="s">
        <v>28</v>
      </c>
      <c r="J41" s="60" t="s">
        <v>257</v>
      </c>
      <c r="K41" s="46" t="s">
        <v>114</v>
      </c>
      <c r="L41" s="46" t="s">
        <v>199</v>
      </c>
      <c r="M41" s="46" t="s">
        <v>123</v>
      </c>
      <c r="N41" s="46" t="s">
        <v>258</v>
      </c>
      <c r="O41" s="60" t="s">
        <v>50</v>
      </c>
      <c r="P41" s="46" t="s">
        <v>35</v>
      </c>
      <c r="Q41" s="60" t="s">
        <v>52</v>
      </c>
      <c r="R41" s="60" t="s">
        <v>37</v>
      </c>
      <c r="S41" s="62" t="s">
        <v>97</v>
      </c>
    </row>
    <row r="42" ht="18" customHeight="1" spans="1:19">
      <c r="A42" s="55" t="s">
        <v>259</v>
      </c>
      <c r="B42" s="56" t="s">
        <v>252</v>
      </c>
      <c r="C42" s="45" t="s">
        <v>260</v>
      </c>
      <c r="D42" s="45" t="s">
        <v>101</v>
      </c>
      <c r="E42" s="57">
        <v>48</v>
      </c>
      <c r="F42" s="56" t="s">
        <v>25</v>
      </c>
      <c r="G42" s="45" t="s">
        <v>111</v>
      </c>
      <c r="H42" s="45" t="s">
        <v>216</v>
      </c>
      <c r="I42" s="45" t="s">
        <v>45</v>
      </c>
      <c r="J42" s="56" t="s">
        <v>163</v>
      </c>
      <c r="K42" s="45" t="s">
        <v>73</v>
      </c>
      <c r="L42" s="45" t="s">
        <v>31</v>
      </c>
      <c r="M42" s="45" t="s">
        <v>123</v>
      </c>
      <c r="N42" s="45" t="s">
        <v>94</v>
      </c>
      <c r="O42" s="56" t="s">
        <v>34</v>
      </c>
      <c r="P42" s="45" t="s">
        <v>106</v>
      </c>
      <c r="Q42" s="56" t="s">
        <v>261</v>
      </c>
      <c r="R42" s="56" t="s">
        <v>77</v>
      </c>
      <c r="S42" s="63" t="s">
        <v>125</v>
      </c>
    </row>
    <row r="43" ht="18" customHeight="1" spans="1:19">
      <c r="A43" s="59" t="s">
        <v>262</v>
      </c>
      <c r="B43" s="60" t="s">
        <v>196</v>
      </c>
      <c r="C43" s="46" t="s">
        <v>263</v>
      </c>
      <c r="D43" s="46" t="s">
        <v>91</v>
      </c>
      <c r="E43" s="61">
        <v>83</v>
      </c>
      <c r="F43" s="60" t="s">
        <v>25</v>
      </c>
      <c r="G43" s="46" t="s">
        <v>135</v>
      </c>
      <c r="H43" s="46" t="s">
        <v>44</v>
      </c>
      <c r="I43" s="46" t="s">
        <v>129</v>
      </c>
      <c r="J43" s="60" t="s">
        <v>157</v>
      </c>
      <c r="K43" s="46" t="s">
        <v>136</v>
      </c>
      <c r="L43" s="46" t="s">
        <v>115</v>
      </c>
      <c r="M43" s="46" t="s">
        <v>93</v>
      </c>
      <c r="N43" s="46" t="s">
        <v>187</v>
      </c>
      <c r="O43" s="60" t="s">
        <v>50</v>
      </c>
      <c r="P43" s="46" t="s">
        <v>51</v>
      </c>
      <c r="Q43" s="60" t="s">
        <v>261</v>
      </c>
      <c r="R43" s="60" t="s">
        <v>77</v>
      </c>
      <c r="S43" s="58" t="s">
        <v>38</v>
      </c>
    </row>
    <row r="44" ht="18" customHeight="1" spans="1:19">
      <c r="A44" s="55" t="s">
        <v>264</v>
      </c>
      <c r="B44" s="56" t="s">
        <v>120</v>
      </c>
      <c r="C44" s="45" t="s">
        <v>162</v>
      </c>
      <c r="D44" s="45" t="s">
        <v>234</v>
      </c>
      <c r="E44" s="57">
        <v>32</v>
      </c>
      <c r="F44" s="56" t="s">
        <v>25</v>
      </c>
      <c r="G44" s="45" t="s">
        <v>58</v>
      </c>
      <c r="H44" s="45" t="s">
        <v>44</v>
      </c>
      <c r="I44" s="45" t="s">
        <v>45</v>
      </c>
      <c r="J44" s="56" t="s">
        <v>207</v>
      </c>
      <c r="K44" s="45" t="s">
        <v>73</v>
      </c>
      <c r="L44" s="45" t="s">
        <v>122</v>
      </c>
      <c r="M44" s="45" t="s">
        <v>182</v>
      </c>
      <c r="N44" s="45" t="s">
        <v>117</v>
      </c>
      <c r="O44" s="56" t="s">
        <v>50</v>
      </c>
      <c r="P44" s="45" t="s">
        <v>106</v>
      </c>
      <c r="Q44" s="56" t="s">
        <v>265</v>
      </c>
      <c r="R44" s="56" t="s">
        <v>77</v>
      </c>
      <c r="S44" s="64" t="s">
        <v>174</v>
      </c>
    </row>
    <row r="45" ht="18" customHeight="1" spans="1:19">
      <c r="A45" s="59" t="s">
        <v>266</v>
      </c>
      <c r="B45" s="60" t="s">
        <v>190</v>
      </c>
      <c r="C45" s="46" t="s">
        <v>233</v>
      </c>
      <c r="D45" s="46" t="s">
        <v>234</v>
      </c>
      <c r="E45" s="61">
        <v>25</v>
      </c>
      <c r="F45" s="60" t="s">
        <v>70</v>
      </c>
      <c r="G45" s="46" t="s">
        <v>43</v>
      </c>
      <c r="H45" s="46" t="s">
        <v>44</v>
      </c>
      <c r="I45" s="46" t="s">
        <v>83</v>
      </c>
      <c r="J45" s="60" t="s">
        <v>163</v>
      </c>
      <c r="K45" s="46" t="s">
        <v>136</v>
      </c>
      <c r="L45" s="46" t="s">
        <v>74</v>
      </c>
      <c r="M45" s="46" t="s">
        <v>48</v>
      </c>
      <c r="N45" s="46" t="s">
        <v>267</v>
      </c>
      <c r="O45" s="60" t="s">
        <v>50</v>
      </c>
      <c r="P45" s="46" t="s">
        <v>86</v>
      </c>
      <c r="Q45" s="60" t="s">
        <v>268</v>
      </c>
      <c r="R45" s="60" t="s">
        <v>65</v>
      </c>
      <c r="S45" s="58" t="s">
        <v>38</v>
      </c>
    </row>
    <row r="46" ht="18" customHeight="1" spans="1:19">
      <c r="A46" s="55" t="s">
        <v>269</v>
      </c>
      <c r="B46" s="56" t="s">
        <v>22</v>
      </c>
      <c r="C46" s="45" t="s">
        <v>68</v>
      </c>
      <c r="D46" s="45" t="s">
        <v>227</v>
      </c>
      <c r="E46" s="57">
        <v>82</v>
      </c>
      <c r="F46" s="56" t="s">
        <v>70</v>
      </c>
      <c r="G46" s="45" t="s">
        <v>43</v>
      </c>
      <c r="H46" s="45" t="s">
        <v>71</v>
      </c>
      <c r="I46" s="45" t="s">
        <v>45</v>
      </c>
      <c r="J46" s="56" t="s">
        <v>113</v>
      </c>
      <c r="K46" s="45" t="s">
        <v>73</v>
      </c>
      <c r="L46" s="45" t="s">
        <v>202</v>
      </c>
      <c r="M46" s="45" t="s">
        <v>116</v>
      </c>
      <c r="N46" s="45" t="s">
        <v>270</v>
      </c>
      <c r="O46" s="56" t="s">
        <v>34</v>
      </c>
      <c r="P46" s="45" t="s">
        <v>191</v>
      </c>
      <c r="Q46" s="56" t="s">
        <v>208</v>
      </c>
      <c r="R46" s="56" t="s">
        <v>37</v>
      </c>
      <c r="S46" s="63" t="s">
        <v>125</v>
      </c>
    </row>
    <row r="47" ht="18" customHeight="1" spans="1:19">
      <c r="A47" s="59" t="s">
        <v>271</v>
      </c>
      <c r="B47" s="60" t="s">
        <v>252</v>
      </c>
      <c r="C47" s="46" t="s">
        <v>272</v>
      </c>
      <c r="D47" s="46" t="s">
        <v>69</v>
      </c>
      <c r="E47" s="61">
        <v>61</v>
      </c>
      <c r="F47" s="60" t="s">
        <v>70</v>
      </c>
      <c r="G47" s="46" t="s">
        <v>135</v>
      </c>
      <c r="H47" s="46" t="s">
        <v>44</v>
      </c>
      <c r="I47" s="46" t="s">
        <v>129</v>
      </c>
      <c r="J47" s="60" t="s">
        <v>163</v>
      </c>
      <c r="K47" s="46" t="s">
        <v>152</v>
      </c>
      <c r="L47" s="46" t="s">
        <v>47</v>
      </c>
      <c r="M47" s="46" t="s">
        <v>182</v>
      </c>
      <c r="N47" s="46" t="s">
        <v>217</v>
      </c>
      <c r="O47" s="60" t="s">
        <v>34</v>
      </c>
      <c r="P47" s="46" t="s">
        <v>165</v>
      </c>
      <c r="Q47" s="60" t="s">
        <v>273</v>
      </c>
      <c r="R47" s="60" t="s">
        <v>96</v>
      </c>
      <c r="S47" s="58" t="s">
        <v>38</v>
      </c>
    </row>
    <row r="48" ht="18" customHeight="1" spans="1:19">
      <c r="A48" s="55" t="s">
        <v>274</v>
      </c>
      <c r="B48" s="56" t="s">
        <v>220</v>
      </c>
      <c r="C48" s="45" t="s">
        <v>121</v>
      </c>
      <c r="D48" s="45" t="s">
        <v>215</v>
      </c>
      <c r="E48" s="57">
        <v>63</v>
      </c>
      <c r="F48" s="56" t="s">
        <v>70</v>
      </c>
      <c r="G48" s="45" t="s">
        <v>43</v>
      </c>
      <c r="H48" s="45" t="s">
        <v>216</v>
      </c>
      <c r="I48" s="45" t="s">
        <v>228</v>
      </c>
      <c r="J48" s="56" t="s">
        <v>163</v>
      </c>
      <c r="K48" s="45" t="s">
        <v>73</v>
      </c>
      <c r="L48" s="45" t="s">
        <v>122</v>
      </c>
      <c r="M48" s="45" t="s">
        <v>123</v>
      </c>
      <c r="N48" s="45" t="s">
        <v>275</v>
      </c>
      <c r="O48" s="56" t="s">
        <v>34</v>
      </c>
      <c r="P48" s="45" t="s">
        <v>86</v>
      </c>
      <c r="Q48" s="56" t="s">
        <v>276</v>
      </c>
      <c r="R48" s="56" t="s">
        <v>37</v>
      </c>
      <c r="S48" s="58" t="s">
        <v>38</v>
      </c>
    </row>
    <row r="49" ht="18" customHeight="1" spans="1:19">
      <c r="A49" s="59" t="s">
        <v>277</v>
      </c>
      <c r="B49" s="60" t="s">
        <v>278</v>
      </c>
      <c r="C49" s="46" t="s">
        <v>242</v>
      </c>
      <c r="D49" s="46" t="s">
        <v>69</v>
      </c>
      <c r="E49" s="61">
        <v>30</v>
      </c>
      <c r="F49" s="60" t="s">
        <v>70</v>
      </c>
      <c r="G49" s="46" t="s">
        <v>58</v>
      </c>
      <c r="H49" s="46" t="s">
        <v>27</v>
      </c>
      <c r="I49" s="46" t="s">
        <v>228</v>
      </c>
      <c r="J49" s="60" t="s">
        <v>29</v>
      </c>
      <c r="K49" s="46" t="s">
        <v>152</v>
      </c>
      <c r="L49" s="46" t="s">
        <v>164</v>
      </c>
      <c r="M49" s="46" t="s">
        <v>123</v>
      </c>
      <c r="N49" s="46" t="s">
        <v>49</v>
      </c>
      <c r="O49" s="60" t="s">
        <v>50</v>
      </c>
      <c r="P49" s="46" t="s">
        <v>165</v>
      </c>
      <c r="Q49" s="60" t="s">
        <v>87</v>
      </c>
      <c r="R49" s="60" t="s">
        <v>53</v>
      </c>
      <c r="S49" s="58" t="s">
        <v>38</v>
      </c>
    </row>
    <row r="50" ht="18" customHeight="1" spans="1:19">
      <c r="A50" s="55" t="s">
        <v>279</v>
      </c>
      <c r="B50" s="56" t="s">
        <v>220</v>
      </c>
      <c r="C50" s="45" t="s">
        <v>242</v>
      </c>
      <c r="D50" s="45" t="s">
        <v>69</v>
      </c>
      <c r="E50" s="57">
        <v>67</v>
      </c>
      <c r="F50" s="56" t="s">
        <v>70</v>
      </c>
      <c r="G50" s="45" t="s">
        <v>111</v>
      </c>
      <c r="H50" s="45" t="s">
        <v>216</v>
      </c>
      <c r="I50" s="45" t="s">
        <v>228</v>
      </c>
      <c r="J50" s="56" t="s">
        <v>207</v>
      </c>
      <c r="K50" s="45" t="s">
        <v>73</v>
      </c>
      <c r="L50" s="45" t="s">
        <v>47</v>
      </c>
      <c r="M50" s="45" t="s">
        <v>104</v>
      </c>
      <c r="N50" s="45" t="s">
        <v>280</v>
      </c>
      <c r="O50" s="56" t="s">
        <v>34</v>
      </c>
      <c r="P50" s="45" t="s">
        <v>51</v>
      </c>
      <c r="Q50" s="56" t="s">
        <v>281</v>
      </c>
      <c r="R50" s="56" t="s">
        <v>37</v>
      </c>
      <c r="S50" s="58" t="s">
        <v>38</v>
      </c>
    </row>
    <row r="51" ht="18" customHeight="1" spans="1:19">
      <c r="A51" s="59" t="s">
        <v>282</v>
      </c>
      <c r="B51" s="60" t="s">
        <v>283</v>
      </c>
      <c r="C51" s="46" t="s">
        <v>284</v>
      </c>
      <c r="D51" s="46" t="s">
        <v>42</v>
      </c>
      <c r="E51" s="61">
        <v>61</v>
      </c>
      <c r="F51" s="60" t="s">
        <v>25</v>
      </c>
      <c r="G51" s="46" t="s">
        <v>26</v>
      </c>
      <c r="H51" s="46" t="s">
        <v>216</v>
      </c>
      <c r="I51" s="46" t="s">
        <v>129</v>
      </c>
      <c r="J51" s="60" t="s">
        <v>29</v>
      </c>
      <c r="K51" s="46" t="s">
        <v>143</v>
      </c>
      <c r="L51" s="46" t="s">
        <v>103</v>
      </c>
      <c r="M51" s="46" t="s">
        <v>182</v>
      </c>
      <c r="N51" s="46" t="s">
        <v>187</v>
      </c>
      <c r="O51" s="60" t="s">
        <v>50</v>
      </c>
      <c r="P51" s="46" t="s">
        <v>106</v>
      </c>
      <c r="Q51" s="60" t="s">
        <v>268</v>
      </c>
      <c r="R51" s="60" t="s">
        <v>37</v>
      </c>
      <c r="S51" s="58" t="s">
        <v>38</v>
      </c>
    </row>
    <row r="52" ht="18" customHeight="1" spans="1:19">
      <c r="A52" s="55" t="s">
        <v>285</v>
      </c>
      <c r="B52" s="56" t="s">
        <v>210</v>
      </c>
      <c r="C52" s="45" t="s">
        <v>194</v>
      </c>
      <c r="D52" s="45" t="s">
        <v>156</v>
      </c>
      <c r="E52" s="57">
        <v>6</v>
      </c>
      <c r="F52" s="56" t="s">
        <v>25</v>
      </c>
      <c r="G52" s="45" t="s">
        <v>58</v>
      </c>
      <c r="H52" s="45" t="s">
        <v>59</v>
      </c>
      <c r="I52" s="45" t="s">
        <v>45</v>
      </c>
      <c r="J52" s="56" t="s">
        <v>163</v>
      </c>
      <c r="K52" s="45" t="s">
        <v>46</v>
      </c>
      <c r="L52" s="45" t="s">
        <v>171</v>
      </c>
      <c r="M52" s="45" t="s">
        <v>32</v>
      </c>
      <c r="N52" s="45" t="s">
        <v>286</v>
      </c>
      <c r="O52" s="56" t="s">
        <v>34</v>
      </c>
      <c r="P52" s="45" t="s">
        <v>35</v>
      </c>
      <c r="Q52" s="56" t="s">
        <v>265</v>
      </c>
      <c r="R52" s="56" t="s">
        <v>53</v>
      </c>
      <c r="S52" s="58" t="s">
        <v>38</v>
      </c>
    </row>
    <row r="53" ht="18" customHeight="1" spans="1:19">
      <c r="A53" s="59" t="s">
        <v>287</v>
      </c>
      <c r="B53" s="60" t="s">
        <v>288</v>
      </c>
      <c r="C53" s="46" t="s">
        <v>121</v>
      </c>
      <c r="D53" s="46" t="s">
        <v>81</v>
      </c>
      <c r="E53" s="61">
        <v>6</v>
      </c>
      <c r="F53" s="60" t="s">
        <v>70</v>
      </c>
      <c r="G53" s="46" t="s">
        <v>58</v>
      </c>
      <c r="H53" s="46" t="s">
        <v>59</v>
      </c>
      <c r="I53" s="46" t="s">
        <v>45</v>
      </c>
      <c r="J53" s="60" t="s">
        <v>29</v>
      </c>
      <c r="K53" s="46" t="s">
        <v>143</v>
      </c>
      <c r="L53" s="46" t="s">
        <v>199</v>
      </c>
      <c r="M53" s="46" t="s">
        <v>123</v>
      </c>
      <c r="N53" s="46" t="s">
        <v>289</v>
      </c>
      <c r="O53" s="60" t="s">
        <v>50</v>
      </c>
      <c r="P53" s="46" t="s">
        <v>165</v>
      </c>
      <c r="Q53" s="60" t="s">
        <v>290</v>
      </c>
      <c r="R53" s="60" t="s">
        <v>65</v>
      </c>
      <c r="S53" s="58" t="s">
        <v>38</v>
      </c>
    </row>
  </sheetData>
  <mergeCells count="2">
    <mergeCell ref="A1:S1"/>
    <mergeCell ref="A2:S2"/>
  </mergeCells>
  <conditionalFormatting sqref="S4:S53">
    <cfRule type="cellIs" dxfId="0" priority="1" operator="equal">
      <formula>"Verified"</formula>
    </cfRule>
    <cfRule type="cellIs" dxfId="1" priority="2" operator="equal">
      <formula>"For Review"</formula>
    </cfRule>
    <cfRule type="cellIs" dxfId="2" priority="3" operator="equal">
      <formula>"Duplicate"</formula>
    </cfRule>
    <cfRule type="cellIs" dxfId="3" priority="4" operator="equal">
      <formula>"Incomplete"</formula>
    </cfRule>
  </conditionalFormatting>
  <dataValidations count="11">
    <dataValidation type="whole" operator="between" showErrorMessage="1" errorTitle="Invalid Age" error="Age must be a whole number between 0 and 120." sqref="E4:E53">
      <formula1>0</formula1>
      <formula2>120</formula2>
    </dataValidation>
    <dataValidation type="list" allowBlank="1" showErrorMessage="1" errorTitle="Invalid Entry" error="Please select a valid option from the dropdown list." sqref="F4:F53">
      <formula1>"Male,Female"</formula1>
    </dataValidation>
    <dataValidation type="list" allowBlank="1" showErrorMessage="1" errorTitle="Invalid Entry" error="Please select a valid option from the dropdown list." sqref="G4:G53">
      <formula1>"Single,Married,Widowed,Legally Separated,Annulled"</formula1>
    </dataValidation>
    <dataValidation type="list" allowBlank="1" showErrorMessage="1" errorTitle="Invalid Entry" error="Please select a valid option from the dropdown list." sqref="H4:H53">
      <formula1>"No Grade Completed,Elementary,High School,Senior High School,Vocational/Technical,College Undergraduate,College Graduate,Post Graduate,Special Education"</formula1>
    </dataValidation>
    <dataValidation type="list" allowBlank="1" showErrorMessage="1" errorTitle="Invalid Entry" error="Please select a valid option from the dropdown list." sqref="I4:I53">
      <formula1>"Employed,Unemployed,Self-Employed,Student,Retired,Unable to Work,Not in Labor Force"</formula1>
    </dataValidation>
    <dataValidation type="list" allowBlank="1" showErrorMessage="1" errorTitle="Invalid Entry" error="Please select a valid option from the dropdown list." sqref="J4:J53">
      <formula1>"Head,Spouse,Child,Parent,Sibling,Grandchild,Other Relative,Non-Relative"</formula1>
    </dataValidation>
    <dataValidation type="list" allowBlank="1" showErrorMessage="1" errorTitle="Invalid Entry" error="Please select a valid option from the dropdown list." sqref="K4:K53">
      <formula1/>
    </dataValidation>
    <dataValidation type="list" allowBlank="1" showErrorMessage="1" errorTitle="Invalid Entry" error="Please select a valid option from the dropdown list." sqref="O4:O53">
      <formula1>"Urban,Rural"</formula1>
    </dataValidation>
    <dataValidation type="list" allowBlank="1" showErrorMessage="1" errorTitle="Invalid Entry" error="Please select a valid option from the dropdown list." sqref="P4:P53">
      <formula1>"Single-Family House,Duplex,Multi-Unit Residential,Makeshift/Informal,Condominium/Apartment,Other"</formula1>
    </dataValidation>
    <dataValidation type="date" operator="between" allowBlank="1" showErrorMessage="1" errorTitle="Invalid Date" error="Date must be between 2020 and 2025." sqref="Q4:Q53">
      <formula1>DATE(2020,1,1)</formula1>
      <formula2>DATE(2025,12,31)</formula2>
    </dataValidation>
    <dataValidation type="list" allowBlank="1" showErrorMessage="1" errorTitle="Invalid Entry" error="Please select a valid option from the dropdown list." sqref="S4:S53">
      <formula1>"Verified,For Review,Duplicate,Incomplete"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5"/>
  <cols>
    <col min="1" max="9" width="32" customWidth="1"/>
  </cols>
  <sheetData>
    <row r="1" ht="28" customHeight="1" spans="1:9">
      <c r="A1" s="52" t="s">
        <v>291</v>
      </c>
    </row>
    <row r="2" spans="1:9">
      <c r="A2" s="2" t="s">
        <v>12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16</v>
      </c>
      <c r="H2" s="2" t="s">
        <v>17</v>
      </c>
      <c r="I2" s="2" t="s">
        <v>20</v>
      </c>
    </row>
    <row r="3" spans="1:9">
      <c r="A3" s="46" t="s">
        <v>92</v>
      </c>
      <c r="B3" s="46" t="s">
        <v>25</v>
      </c>
      <c r="C3" s="46" t="s">
        <v>58</v>
      </c>
      <c r="D3" s="46" t="s">
        <v>147</v>
      </c>
      <c r="E3" s="46" t="s">
        <v>129</v>
      </c>
      <c r="F3" s="46" t="s">
        <v>29</v>
      </c>
      <c r="G3" s="46" t="s">
        <v>50</v>
      </c>
      <c r="H3" s="46" t="s">
        <v>35</v>
      </c>
      <c r="I3" s="46" t="s">
        <v>38</v>
      </c>
    </row>
    <row r="4" spans="1:9">
      <c r="A4" s="45" t="s">
        <v>136</v>
      </c>
      <c r="B4" s="45" t="s">
        <v>70</v>
      </c>
      <c r="C4" s="45" t="s">
        <v>135</v>
      </c>
      <c r="D4" s="45" t="s">
        <v>59</v>
      </c>
      <c r="E4" s="45" t="s">
        <v>72</v>
      </c>
      <c r="F4" s="45" t="s">
        <v>148</v>
      </c>
      <c r="G4" s="45" t="s">
        <v>34</v>
      </c>
      <c r="H4" s="45" t="s">
        <v>51</v>
      </c>
      <c r="I4" s="45" t="s">
        <v>125</v>
      </c>
    </row>
    <row r="5" spans="1:9">
      <c r="A5" s="46" t="s">
        <v>114</v>
      </c>
      <c r="C5" s="46" t="s">
        <v>43</v>
      </c>
      <c r="D5" s="46" t="s">
        <v>27</v>
      </c>
      <c r="E5" s="46" t="s">
        <v>228</v>
      </c>
      <c r="F5" s="46" t="s">
        <v>157</v>
      </c>
      <c r="H5" s="46" t="s">
        <v>106</v>
      </c>
      <c r="I5" s="46" t="s">
        <v>97</v>
      </c>
    </row>
    <row r="6" spans="1:9">
      <c r="A6" s="45" t="s">
        <v>30</v>
      </c>
      <c r="C6" s="45" t="s">
        <v>111</v>
      </c>
      <c r="D6" s="45" t="s">
        <v>102</v>
      </c>
      <c r="E6" s="45" t="s">
        <v>112</v>
      </c>
      <c r="F6" s="45" t="s">
        <v>130</v>
      </c>
      <c r="H6" s="45" t="s">
        <v>165</v>
      </c>
      <c r="I6" s="45" t="s">
        <v>174</v>
      </c>
    </row>
    <row r="7" spans="1:9">
      <c r="A7" s="46" t="s">
        <v>143</v>
      </c>
      <c r="C7" s="46" t="s">
        <v>26</v>
      </c>
      <c r="D7" s="46" t="s">
        <v>216</v>
      </c>
      <c r="E7" s="46" t="s">
        <v>28</v>
      </c>
      <c r="F7" s="46" t="s">
        <v>113</v>
      </c>
      <c r="H7" s="46" t="s">
        <v>86</v>
      </c>
    </row>
    <row r="8" spans="1:9">
      <c r="A8" s="45" t="s">
        <v>73</v>
      </c>
      <c r="D8" s="45" t="s">
        <v>142</v>
      </c>
      <c r="E8" s="45" t="s">
        <v>83</v>
      </c>
      <c r="F8" s="45" t="s">
        <v>257</v>
      </c>
      <c r="H8" s="45" t="s">
        <v>191</v>
      </c>
    </row>
    <row r="9" spans="1:9">
      <c r="A9" s="46" t="s">
        <v>60</v>
      </c>
      <c r="D9" s="46" t="s">
        <v>82</v>
      </c>
      <c r="E9" s="46" t="s">
        <v>45</v>
      </c>
      <c r="F9" s="46" t="s">
        <v>207</v>
      </c>
    </row>
    <row r="10" spans="1:9">
      <c r="A10" s="45" t="s">
        <v>152</v>
      </c>
      <c r="D10" s="45" t="s">
        <v>71</v>
      </c>
      <c r="F10" s="45" t="s">
        <v>163</v>
      </c>
    </row>
    <row r="11" spans="1:9">
      <c r="A11" s="46" t="s">
        <v>292</v>
      </c>
      <c r="D11" s="46" t="s">
        <v>44</v>
      </c>
    </row>
    <row r="12" spans="1:9">
      <c r="A12" s="45" t="s">
        <v>293</v>
      </c>
    </row>
    <row r="13" spans="1:9">
      <c r="A13" s="46" t="s">
        <v>294</v>
      </c>
    </row>
    <row r="14" spans="1:9">
      <c r="A14" s="45" t="s">
        <v>295</v>
      </c>
    </row>
    <row r="15" spans="1:9">
      <c r="A15" s="46" t="s">
        <v>296</v>
      </c>
    </row>
    <row r="16" spans="1:9">
      <c r="A16" s="45" t="s">
        <v>297</v>
      </c>
    </row>
    <row r="17" spans="1:1">
      <c r="A17" s="46" t="s">
        <v>46</v>
      </c>
    </row>
    <row r="18" spans="1:1">
      <c r="A18" s="45" t="s">
        <v>298</v>
      </c>
    </row>
    <row r="19" spans="1:1">
      <c r="A19" s="46" t="s">
        <v>299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pane ySplit="8" topLeftCell="A39" activePane="bottomLeft" state="frozen"/>
      <selection/>
      <selection pane="bottomLeft" activeCell="A1" sqref="A1:L1"/>
    </sheetView>
  </sheetViews>
  <sheetFormatPr defaultColWidth="9" defaultRowHeight="15"/>
  <cols>
    <col min="1" max="10" width="17" customWidth="1"/>
    <col min="11" max="11" width="20" customWidth="1"/>
    <col min="12" max="12" width="12" customWidth="1"/>
  </cols>
  <sheetData>
    <row r="1" ht="40" customHeight="1" spans="1:12">
      <c r="A1" s="22" t="s">
        <v>300</v>
      </c>
    </row>
    <row r="2" ht="20" customHeight="1" spans="1:12">
      <c r="A2" s="23" t="s">
        <v>301</v>
      </c>
    </row>
    <row r="3" ht="15.75"/>
    <row r="4" ht="26" customHeight="1" spans="1:12">
      <c r="A4" s="24" t="s">
        <v>302</v>
      </c>
      <c r="B4" s="25"/>
      <c r="C4" s="25"/>
      <c r="D4" s="26" t="s">
        <v>303</v>
      </c>
      <c r="E4" s="27"/>
      <c r="F4" s="27"/>
      <c r="G4" s="28" t="s">
        <v>304</v>
      </c>
      <c r="H4" s="29"/>
      <c r="I4" s="29"/>
      <c r="J4" s="30" t="s">
        <v>305</v>
      </c>
      <c r="K4" s="31"/>
      <c r="L4" s="31"/>
    </row>
    <row r="5" ht="26" customHeight="1" spans="1:12">
      <c r="A5" s="25"/>
      <c r="B5" s="25"/>
      <c r="C5" s="25"/>
      <c r="D5" s="27"/>
      <c r="E5" s="27"/>
      <c r="F5" s="27"/>
      <c r="G5" s="29"/>
      <c r="H5" s="29"/>
      <c r="I5" s="29"/>
      <c r="J5" s="31"/>
      <c r="K5" s="31"/>
      <c r="L5" s="31"/>
    </row>
    <row r="6" ht="26" customHeight="1" spans="1:12">
      <c r="A6" s="32">
        <f>COUNTA('📋 CENSUS DATABASE'!A4:A53)</f>
        <v>50</v>
      </c>
      <c r="B6" s="25"/>
      <c r="C6" s="25"/>
      <c r="D6" s="33">
        <f>COUNTIF('📋 CENSUS DATABASE'!S4:S53,"Verified")</f>
        <v>34</v>
      </c>
      <c r="E6" s="27"/>
      <c r="F6" s="27"/>
      <c r="G6" s="34">
        <f>COUNTIF('📋 CENSUS DATABASE'!S4:S53,"For Review")</f>
        <v>5</v>
      </c>
      <c r="H6" s="29"/>
      <c r="I6" s="29"/>
      <c r="J6" s="35">
        <f>COUNTIF('📋 CENSUS DATABASE'!S4:S53,"Incomplete")+COUNTIF('📋 CENSUS DATABASE'!S4:S53,"Duplicate")</f>
        <v>11</v>
      </c>
      <c r="K6" s="31"/>
      <c r="L6" s="31"/>
    </row>
    <row r="7" ht="26" customHeight="1" spans="1:12">
      <c r="A7" s="25"/>
      <c r="B7" s="25"/>
      <c r="C7" s="25"/>
      <c r="D7" s="27"/>
      <c r="E7" s="27"/>
      <c r="F7" s="27"/>
      <c r="G7" s="29"/>
      <c r="H7" s="29"/>
      <c r="I7" s="29"/>
      <c r="J7" s="31"/>
      <c r="K7" s="31"/>
      <c r="L7" s="31"/>
    </row>
    <row r="8" ht="12" customHeight="1"/>
    <row r="9" spans="1:12">
      <c r="A9" s="36" t="s">
        <v>306</v>
      </c>
      <c r="B9" s="37"/>
      <c r="C9" s="15"/>
      <c r="K9" s="38" t="s">
        <v>307</v>
      </c>
    </row>
    <row r="10" ht="18" customHeight="1" spans="1:12">
      <c r="A10" s="4" t="s">
        <v>25</v>
      </c>
      <c r="B10" s="39">
        <f>COUNTIF('📋 CENSUS DATABASE'!F4:F53,"Male")</f>
        <v>28</v>
      </c>
      <c r="C10" s="40" t="e">
        <f>B10/D4</f>
        <v>#VALUE!</v>
      </c>
      <c r="K10" s="41" t="s">
        <v>38</v>
      </c>
      <c r="L10" s="42">
        <f>COUNTIF('📋 CENSUS DATABASE'!S4:S53,"Verified")</f>
        <v>34</v>
      </c>
    </row>
    <row r="11" ht="18" customHeight="1" spans="1:12">
      <c r="A11" s="9" t="s">
        <v>70</v>
      </c>
      <c r="B11" s="43">
        <f>COUNTIF('📋 CENSUS DATABASE'!F4:F53,"Female")</f>
        <v>22</v>
      </c>
      <c r="C11" s="44" t="e">
        <f>B11/D4</f>
        <v>#VALUE!</v>
      </c>
      <c r="K11" s="41" t="s">
        <v>125</v>
      </c>
      <c r="L11" s="42">
        <f>COUNTIF('📋 CENSUS DATABASE'!S4:S53,"For Review")</f>
        <v>5</v>
      </c>
    </row>
    <row r="12" ht="18" customHeight="1" spans="1:12">
      <c r="K12" s="41" t="s">
        <v>97</v>
      </c>
      <c r="L12" s="42">
        <f>COUNTIF('📋 CENSUS DATABASE'!S4:S53,"Duplicate")</f>
        <v>7</v>
      </c>
    </row>
    <row r="13" ht="18" customHeight="1" spans="1:12">
      <c r="A13" s="36" t="s">
        <v>308</v>
      </c>
      <c r="B13" s="37"/>
      <c r="C13" s="15"/>
      <c r="K13" s="41" t="s">
        <v>174</v>
      </c>
      <c r="L13" s="42">
        <f>COUNTIF('📋 CENSUS DATABASE'!S4:S53,"Incomplete")</f>
        <v>4</v>
      </c>
    </row>
    <row r="14" ht="20" customHeight="1" spans="1:12">
      <c r="A14" s="4" t="s">
        <v>309</v>
      </c>
      <c r="B14" s="39">
        <f>COUNTIFS('📋 CENSUS DATABASE'!E4:E53,"&gt;="&amp;0,'📋 CENSUS DATABASE'!E4:E53,"&lt;="&amp;14)</f>
        <v>9</v>
      </c>
      <c r="C14" s="40" t="e">
        <f>B14/D4</f>
        <v>#VALUE!</v>
      </c>
    </row>
    <row r="15" ht="20" customHeight="1" spans="1:12">
      <c r="A15" s="9" t="s">
        <v>310</v>
      </c>
      <c r="B15" s="43">
        <f>COUNTIFS('📋 CENSUS DATABASE'!E4:E53,"&gt;="&amp;15,'📋 CENSUS DATABASE'!E4:E53,"&lt;="&amp;24)</f>
        <v>5</v>
      </c>
      <c r="C15" s="44" t="e">
        <f>B15/D4</f>
        <v>#VALUE!</v>
      </c>
    </row>
    <row r="16" ht="20" customHeight="1" spans="1:12">
      <c r="A16" s="4" t="s">
        <v>311</v>
      </c>
      <c r="B16" s="39">
        <f>COUNTIFS('📋 CENSUS DATABASE'!E4:E53,"&gt;="&amp;25,'📋 CENSUS DATABASE'!E4:E53,"&lt;="&amp;59)</f>
        <v>18</v>
      </c>
      <c r="C16" s="40" t="e">
        <f>B16/D4</f>
        <v>#VALUE!</v>
      </c>
    </row>
    <row r="17" ht="20" customHeight="1" spans="1:3">
      <c r="A17" s="9" t="s">
        <v>312</v>
      </c>
      <c r="B17" s="43">
        <f>COUNTIFS('📋 CENSUS DATABASE'!E4:E53,"&gt;="&amp;60,'📋 CENSUS DATABASE'!E4:E53,"&lt;="&amp;120)</f>
        <v>18</v>
      </c>
      <c r="C17" s="44" t="e">
        <f>B17/D4</f>
        <v>#VALUE!</v>
      </c>
    </row>
    <row r="18" ht="8" customHeight="1"/>
    <row r="19" spans="1:3">
      <c r="A19" s="36" t="s">
        <v>313</v>
      </c>
      <c r="B19" s="37"/>
      <c r="C19" s="15"/>
    </row>
    <row r="20" ht="18" customHeight="1" spans="1:3">
      <c r="A20" s="45" t="s">
        <v>129</v>
      </c>
      <c r="B20" s="39">
        <f>COUNTIF('📋 CENSUS DATABASE'!I4:I53,"Employed")</f>
        <v>5</v>
      </c>
      <c r="C20" s="40" t="e">
        <f>B20/D4</f>
        <v>#VALUE!</v>
      </c>
    </row>
    <row r="21" ht="18" customHeight="1" spans="1:3">
      <c r="A21" s="46" t="s">
        <v>72</v>
      </c>
      <c r="B21" s="43">
        <f>COUNTIF('📋 CENSUS DATABASE'!I4:I53,"Unemployed")</f>
        <v>5</v>
      </c>
      <c r="C21" s="44" t="e">
        <f>B21/D4</f>
        <v>#VALUE!</v>
      </c>
    </row>
    <row r="22" ht="18" customHeight="1" spans="1:3">
      <c r="A22" s="45" t="s">
        <v>228</v>
      </c>
      <c r="B22" s="39">
        <f>COUNTIF('📋 CENSUS DATABASE'!I4:I53,"Self-Employed")</f>
        <v>5</v>
      </c>
      <c r="C22" s="40" t="e">
        <f>B22/D4</f>
        <v>#VALUE!</v>
      </c>
    </row>
    <row r="23" ht="18" customHeight="1" spans="1:3">
      <c r="A23" s="46" t="s">
        <v>112</v>
      </c>
      <c r="B23" s="43">
        <f>COUNTIF('📋 CENSUS DATABASE'!I4:I53,"Student")</f>
        <v>5</v>
      </c>
      <c r="C23" s="44" t="e">
        <f>B23/D4</f>
        <v>#VALUE!</v>
      </c>
    </row>
    <row r="24" ht="18" customHeight="1" spans="1:3">
      <c r="A24" s="45" t="s">
        <v>28</v>
      </c>
      <c r="B24" s="39">
        <f>COUNTIF('📋 CENSUS DATABASE'!I4:I53,"Retired")</f>
        <v>9</v>
      </c>
      <c r="C24" s="40" t="e">
        <f>B24/D4</f>
        <v>#VALUE!</v>
      </c>
    </row>
    <row r="25" ht="18" customHeight="1" spans="1:3">
      <c r="A25" s="46" t="s">
        <v>45</v>
      </c>
      <c r="B25" s="43">
        <f>COUNTIF('📋 CENSUS DATABASE'!I4:I53,"Not in Labor Force")</f>
        <v>16</v>
      </c>
      <c r="C25" s="44" t="e">
        <f>B25/D4</f>
        <v>#VALUE!</v>
      </c>
    </row>
    <row r="26" ht="8" customHeight="1"/>
    <row r="27" spans="1:3">
      <c r="A27" s="36" t="s">
        <v>314</v>
      </c>
      <c r="B27" s="37"/>
      <c r="C27" s="15"/>
    </row>
    <row r="28" ht="20" customHeight="1" spans="1:3">
      <c r="A28" s="4" t="s">
        <v>50</v>
      </c>
      <c r="B28" s="39">
        <f>COUNTIF('📋 CENSUS DATABASE'!O4:O53,"Urban")</f>
        <v>28</v>
      </c>
      <c r="C28" s="40" t="e">
        <f>B28/D4</f>
        <v>#VALUE!</v>
      </c>
    </row>
    <row r="29" ht="20" customHeight="1" spans="1:3">
      <c r="A29" s="9" t="s">
        <v>34</v>
      </c>
      <c r="B29" s="43">
        <f>COUNTIF('📋 CENSUS DATABASE'!O4:O53,"Rural")</f>
        <v>22</v>
      </c>
      <c r="C29" s="44" t="e">
        <f>B29/D4</f>
        <v>#VALUE!</v>
      </c>
    </row>
    <row r="30" ht="8" customHeight="1"/>
    <row r="31" spans="1:3">
      <c r="A31" s="36" t="s">
        <v>315</v>
      </c>
      <c r="B31" s="37"/>
      <c r="C31" s="15"/>
    </row>
    <row r="32" ht="20" customHeight="1" spans="1:3">
      <c r="A32" s="4" t="s">
        <v>316</v>
      </c>
      <c r="B32" s="47">
        <f>ROUND(AVERAGE('📋 CENSUS DATABASE'!E4:E53),1)</f>
        <v>42.7</v>
      </c>
      <c r="C32" s="48"/>
    </row>
    <row r="33" ht="20" customHeight="1" spans="1:3">
      <c r="A33" s="9" t="s">
        <v>317</v>
      </c>
      <c r="B33" s="49">
        <f>MIN('📋 CENSUS DATABASE'!E4:E53)</f>
        <v>0</v>
      </c>
      <c r="C33" s="50"/>
    </row>
    <row r="34" ht="20" customHeight="1" spans="1:3">
      <c r="A34" s="4" t="s">
        <v>318</v>
      </c>
      <c r="B34" s="51">
        <f>MAX('📋 CENSUS DATABASE'!E4:E53)</f>
        <v>84</v>
      </c>
      <c r="C34" s="48"/>
    </row>
    <row r="35" ht="20" customHeight="1" spans="1:3">
      <c r="A35" s="9" t="s">
        <v>319</v>
      </c>
      <c r="B35" s="49">
        <f>SUMPRODUCT(1/COUNTIF('📋 CENSUS DATABASE'!B4:B53,'📋 CENSUS DATABASE'!B4:B53))</f>
        <v>24</v>
      </c>
      <c r="C35" s="50"/>
    </row>
    <row r="36" ht="20" customHeight="1" spans="1:3">
      <c r="A36" s="4" t="s">
        <v>320</v>
      </c>
      <c r="B36" s="47">
        <f>ROUND(COUNTA('📋 CENSUS DATABASE'!A4:A53)/SUMPRODUCT(1/COUNTIF('📋 CENSUS DATABASE'!B4:B53,'📋 CENSUS DATABASE'!B4:B53)),1)</f>
        <v>2.1</v>
      </c>
      <c r="C36" s="48"/>
    </row>
  </sheetData>
  <mergeCells count="15">
    <mergeCell ref="A1:L1"/>
    <mergeCell ref="A2:L2"/>
    <mergeCell ref="A4:C4"/>
    <mergeCell ref="D4:F4"/>
    <mergeCell ref="G4:I4"/>
    <mergeCell ref="J4:L4"/>
    <mergeCell ref="A9:C9"/>
    <mergeCell ref="A13:C13"/>
    <mergeCell ref="A19:C19"/>
    <mergeCell ref="A27:C27"/>
    <mergeCell ref="A31:C31"/>
    <mergeCell ref="A6:C7"/>
    <mergeCell ref="D6:F7"/>
    <mergeCell ref="G6:I7"/>
    <mergeCell ref="J6:L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pane ySplit="2" topLeftCell="A3" activePane="bottomLeft" state="frozen"/>
      <selection/>
      <selection pane="bottomLeft" activeCell="A1" sqref="A1:E1"/>
    </sheetView>
  </sheetViews>
  <sheetFormatPr defaultColWidth="9" defaultRowHeight="15" outlineLevelCol="4"/>
  <cols>
    <col min="1" max="1" width="8" customWidth="1"/>
    <col min="2" max="2" width="20" customWidth="1"/>
    <col min="3" max="3" width="14" customWidth="1"/>
    <col min="4" max="4" width="36" customWidth="1"/>
    <col min="5" max="5" width="42" customWidth="1"/>
  </cols>
  <sheetData>
    <row r="1" ht="32" customHeight="1" spans="1:5">
      <c r="A1" s="1" t="s">
        <v>321</v>
      </c>
    </row>
    <row r="2" ht="26" customHeight="1" spans="1:5">
      <c r="A2" s="2" t="s">
        <v>322</v>
      </c>
      <c r="B2" s="2" t="s">
        <v>323</v>
      </c>
      <c r="C2" s="2" t="s">
        <v>324</v>
      </c>
      <c r="D2" s="2" t="s">
        <v>325</v>
      </c>
      <c r="E2" s="2" t="s">
        <v>326</v>
      </c>
    </row>
    <row r="3" ht="36" customHeight="1" spans="1:5">
      <c r="A3" s="3" t="s">
        <v>327</v>
      </c>
      <c r="B3" s="4" t="s">
        <v>2</v>
      </c>
      <c r="C3" s="5" t="s">
        <v>328</v>
      </c>
      <c r="D3" s="6" t="s">
        <v>329</v>
      </c>
      <c r="E3" s="7" t="s">
        <v>330</v>
      </c>
    </row>
    <row r="4" ht="36" customHeight="1" spans="1:5">
      <c r="A4" s="8" t="s">
        <v>331</v>
      </c>
      <c r="B4" s="9" t="s">
        <v>3</v>
      </c>
      <c r="C4" s="10" t="s">
        <v>332</v>
      </c>
      <c r="D4" s="11" t="s">
        <v>333</v>
      </c>
      <c r="E4" s="12" t="s">
        <v>334</v>
      </c>
    </row>
    <row r="5" ht="36" customHeight="1" spans="1:5">
      <c r="A5" s="3" t="s">
        <v>335</v>
      </c>
      <c r="B5" s="4" t="s">
        <v>4</v>
      </c>
      <c r="C5" s="5" t="s">
        <v>332</v>
      </c>
      <c r="D5" s="6" t="s">
        <v>336</v>
      </c>
      <c r="E5" s="7" t="s">
        <v>337</v>
      </c>
    </row>
    <row r="6" ht="36" customHeight="1" spans="1:5">
      <c r="A6" s="8" t="s">
        <v>338</v>
      </c>
      <c r="B6" s="9" t="s">
        <v>5</v>
      </c>
      <c r="C6" s="10" t="s">
        <v>332</v>
      </c>
      <c r="D6" s="11" t="s">
        <v>339</v>
      </c>
      <c r="E6" s="12" t="s">
        <v>340</v>
      </c>
    </row>
    <row r="7" ht="36" customHeight="1" spans="1:5">
      <c r="A7" s="3" t="s">
        <v>341</v>
      </c>
      <c r="B7" s="4" t="s">
        <v>6</v>
      </c>
      <c r="C7" s="5" t="s">
        <v>342</v>
      </c>
      <c r="D7" s="6" t="s">
        <v>343</v>
      </c>
      <c r="E7" s="7" t="s">
        <v>344</v>
      </c>
    </row>
    <row r="8" ht="36" customHeight="1" spans="1:5">
      <c r="A8" s="8" t="s">
        <v>345</v>
      </c>
      <c r="B8" s="9" t="s">
        <v>7</v>
      </c>
      <c r="C8" s="10" t="s">
        <v>346</v>
      </c>
      <c r="D8" s="11" t="s">
        <v>347</v>
      </c>
      <c r="E8" s="12" t="s">
        <v>348</v>
      </c>
    </row>
    <row r="9" ht="36" customHeight="1" spans="1:5">
      <c r="A9" s="3" t="s">
        <v>349</v>
      </c>
      <c r="B9" s="4" t="s">
        <v>8</v>
      </c>
      <c r="C9" s="5" t="s">
        <v>346</v>
      </c>
      <c r="D9" s="6" t="s">
        <v>350</v>
      </c>
      <c r="E9" s="7" t="s">
        <v>351</v>
      </c>
    </row>
    <row r="10" ht="36" customHeight="1" spans="1:5">
      <c r="A10" s="8" t="s">
        <v>352</v>
      </c>
      <c r="B10" s="9" t="s">
        <v>9</v>
      </c>
      <c r="C10" s="10" t="s">
        <v>346</v>
      </c>
      <c r="D10" s="11" t="s">
        <v>353</v>
      </c>
      <c r="E10" s="12" t="s">
        <v>354</v>
      </c>
    </row>
    <row r="11" ht="36" customHeight="1" spans="1:5">
      <c r="A11" s="3" t="s">
        <v>355</v>
      </c>
      <c r="B11" s="4" t="s">
        <v>10</v>
      </c>
      <c r="C11" s="5" t="s">
        <v>346</v>
      </c>
      <c r="D11" s="6" t="s">
        <v>353</v>
      </c>
      <c r="E11" s="7" t="s">
        <v>356</v>
      </c>
    </row>
    <row r="12" ht="36" customHeight="1" spans="1:5">
      <c r="A12" s="8" t="s">
        <v>357</v>
      </c>
      <c r="B12" s="9" t="s">
        <v>11</v>
      </c>
      <c r="C12" s="10" t="s">
        <v>346</v>
      </c>
      <c r="D12" s="11" t="s">
        <v>358</v>
      </c>
      <c r="E12" s="12" t="s">
        <v>359</v>
      </c>
    </row>
    <row r="13" ht="36" customHeight="1" spans="1:5">
      <c r="A13" s="3" t="s">
        <v>360</v>
      </c>
      <c r="B13" s="4" t="s">
        <v>12</v>
      </c>
      <c r="C13" s="5" t="s">
        <v>346</v>
      </c>
      <c r="D13" s="6" t="s">
        <v>361</v>
      </c>
      <c r="E13" s="7" t="s">
        <v>362</v>
      </c>
    </row>
    <row r="14" ht="36" customHeight="1" spans="1:5">
      <c r="A14" s="8" t="s">
        <v>363</v>
      </c>
      <c r="B14" s="9" t="s">
        <v>13</v>
      </c>
      <c r="C14" s="10" t="s">
        <v>332</v>
      </c>
      <c r="D14" s="11" t="s">
        <v>364</v>
      </c>
      <c r="E14" s="12" t="s">
        <v>365</v>
      </c>
    </row>
    <row r="15" ht="36" customHeight="1" spans="1:5">
      <c r="A15" s="3" t="s">
        <v>366</v>
      </c>
      <c r="B15" s="4" t="s">
        <v>14</v>
      </c>
      <c r="C15" s="5" t="s">
        <v>332</v>
      </c>
      <c r="D15" s="6" t="s">
        <v>367</v>
      </c>
      <c r="E15" s="7" t="s">
        <v>368</v>
      </c>
    </row>
    <row r="16" ht="36" customHeight="1" spans="1:5">
      <c r="A16" s="8" t="s">
        <v>369</v>
      </c>
      <c r="B16" s="9" t="s">
        <v>15</v>
      </c>
      <c r="C16" s="10" t="s">
        <v>332</v>
      </c>
      <c r="D16" s="11" t="s">
        <v>370</v>
      </c>
      <c r="E16" s="12" t="s">
        <v>371</v>
      </c>
    </row>
    <row r="17" ht="36" customHeight="1" spans="1:5">
      <c r="A17" s="3" t="s">
        <v>372</v>
      </c>
      <c r="B17" s="4" t="s">
        <v>16</v>
      </c>
      <c r="C17" s="5" t="s">
        <v>346</v>
      </c>
      <c r="D17" s="6" t="s">
        <v>373</v>
      </c>
      <c r="E17" s="7" t="s">
        <v>374</v>
      </c>
    </row>
    <row r="18" ht="36" customHeight="1" spans="1:5">
      <c r="A18" s="8" t="s">
        <v>375</v>
      </c>
      <c r="B18" s="9" t="s">
        <v>17</v>
      </c>
      <c r="C18" s="10" t="s">
        <v>346</v>
      </c>
      <c r="D18" s="11" t="s">
        <v>353</v>
      </c>
      <c r="E18" s="12" t="s">
        <v>376</v>
      </c>
    </row>
    <row r="19" ht="36" customHeight="1" spans="1:5">
      <c r="A19" s="3" t="s">
        <v>377</v>
      </c>
      <c r="B19" s="4" t="s">
        <v>18</v>
      </c>
      <c r="C19" s="5" t="s">
        <v>378</v>
      </c>
      <c r="D19" s="6" t="s">
        <v>379</v>
      </c>
      <c r="E19" s="7" t="s">
        <v>380</v>
      </c>
    </row>
    <row r="20" ht="36" customHeight="1" spans="1:5">
      <c r="A20" s="8" t="s">
        <v>381</v>
      </c>
      <c r="B20" s="9" t="s">
        <v>382</v>
      </c>
      <c r="C20" s="10" t="s">
        <v>332</v>
      </c>
      <c r="D20" s="11" t="s">
        <v>383</v>
      </c>
      <c r="E20" s="12" t="s">
        <v>384</v>
      </c>
    </row>
    <row r="21" ht="36" customHeight="1" spans="1:5">
      <c r="A21" s="3" t="s">
        <v>385</v>
      </c>
      <c r="B21" s="4" t="s">
        <v>20</v>
      </c>
      <c r="C21" s="5" t="s">
        <v>346</v>
      </c>
      <c r="D21" s="6" t="s">
        <v>386</v>
      </c>
      <c r="E21" s="7" t="s">
        <v>387</v>
      </c>
    </row>
    <row r="24" ht="26" customHeight="1" spans="1:5">
      <c r="A24" s="13" t="s">
        <v>388</v>
      </c>
    </row>
    <row r="25" ht="22" customHeight="1" spans="1:5">
      <c r="A25" s="14" t="s">
        <v>389</v>
      </c>
      <c r="B25" s="14" t="s">
        <v>390</v>
      </c>
      <c r="C25" s="15"/>
      <c r="D25" s="14" t="s">
        <v>391</v>
      </c>
      <c r="E25" s="15"/>
    </row>
    <row r="26" ht="22" customHeight="1" spans="1:5">
      <c r="A26" s="16" t="s">
        <v>392</v>
      </c>
      <c r="B26" s="17" t="s">
        <v>393</v>
      </c>
      <c r="D26" s="18" t="s">
        <v>394</v>
      </c>
    </row>
    <row r="27" ht="22" customHeight="1" spans="1:5">
      <c r="A27" s="19" t="s">
        <v>395</v>
      </c>
      <c r="B27" s="20" t="s">
        <v>396</v>
      </c>
      <c r="D27" s="21" t="s">
        <v>397</v>
      </c>
    </row>
    <row r="28" ht="22" customHeight="1" spans="1:5">
      <c r="A28" s="16" t="s">
        <v>398</v>
      </c>
      <c r="B28" s="17" t="s">
        <v>399</v>
      </c>
      <c r="D28" s="18" t="s">
        <v>400</v>
      </c>
    </row>
    <row r="29" ht="22" customHeight="1" spans="1:5">
      <c r="A29" s="19" t="s">
        <v>401</v>
      </c>
      <c r="B29" s="20" t="s">
        <v>402</v>
      </c>
      <c r="D29" s="21" t="s">
        <v>403</v>
      </c>
    </row>
    <row r="30" ht="22" customHeight="1" spans="1:5">
      <c r="A30" s="16" t="s">
        <v>404</v>
      </c>
      <c r="B30" s="17" t="s">
        <v>405</v>
      </c>
      <c r="D30" s="18" t="s">
        <v>406</v>
      </c>
    </row>
    <row r="31" ht="22" customHeight="1" spans="1:5">
      <c r="A31" s="19" t="s">
        <v>407</v>
      </c>
      <c r="B31" s="20" t="s">
        <v>408</v>
      </c>
      <c r="D31" s="21" t="s">
        <v>409</v>
      </c>
    </row>
  </sheetData>
  <mergeCells count="16">
    <mergeCell ref="A1:E1"/>
    <mergeCell ref="A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📋 CENSUS DATABASE</vt:lpstr>
      <vt:lpstr>🔒 VALIDATION LISTS</vt:lpstr>
      <vt:lpstr>📊 SUMMARY DASHBOARD</vt:lpstr>
      <vt:lpstr>📖 ENCODER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riegn</cp:lastModifiedBy>
  <dcterms:created xsi:type="dcterms:W3CDTF">2026-03-17T01:26:00Z</dcterms:created>
  <dcterms:modified xsi:type="dcterms:W3CDTF">2026-03-17T01:34:36Z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47A88BD39444453A9F17BF23E9AD01EC_13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