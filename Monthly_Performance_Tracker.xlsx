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3"/>
  </bookViews>
  <sheets>
    <sheet name="Monthly Data" sheetId="1" r:id="rId1"/>
    <sheet name="KPI Dashboard" sheetId="2" r:id="rId2"/>
    <sheet name="Quarterly Rollup" sheetId="3" r:id="rId3"/>
    <sheet name="Trend 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<sst xmlns="http://schemas.openxmlformats.org/spreadsheetml/2006/main" count="93" uniqueCount="68">
  <si>
    <t>📊  MONTHLY PERFORMANCE TRACKER — 2024 Annual Records</t>
  </si>
  <si>
    <t>Track monthly Sales Revenue, Units Sold, New Customers, Expenses, and Profit — all KPIs calculated automatically.</t>
  </si>
  <si>
    <t>Month</t>
  </si>
  <si>
    <t>Sales Revenue ($)</t>
  </si>
  <si>
    <t>Units Sold</t>
  </si>
  <si>
    <t>New Customers</t>
  </si>
  <si>
    <t>Expenses ($)</t>
  </si>
  <si>
    <t>Gross Profit ($)</t>
  </si>
  <si>
    <t>Profit Margin (%)</t>
  </si>
  <si>
    <t>MoM Growth (%)</t>
  </si>
  <si>
    <t>vs Avg (%)</t>
  </si>
  <si>
    <t>January</t>
  </si>
  <si>
    <t>—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</si>
  <si>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</si>
  <si>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</si>
  <si>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</si>
  <si>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</si>
  <si>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</si>
  <si>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</si>
  <si>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</si>
  <si>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</si>
  <si>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</si>
  <si>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</si>
  <si>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</si>
  <si>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FULL YEAR</t>
  </si>
  <si>
    <t>MONTHLY AVG</t>
  </si>
  <si>
    <t>🏆  KEY PERFORMANCE INDICATORS — 2024 ANNUAL DASHBOARD</t>
  </si>
  <si>
    <t>💰 Total Revenue</t>
  </si>
  <si>
    <t>📦 Units Sold</t>
  </si>
  <si>
    <t>👥 New Customers</t>
  </si>
  <si>
    <t>📈 Avg Profit Margin</t>
  </si>
  <si>
    <t>Metric</t>
  </si>
  <si>
    <t>Best Month</t>
  </si>
  <si>
    <t>Best Value</t>
  </si>
  <si>
    <t>Worst Month</t>
  </si>
  <si>
    <t>Worst Value</t>
  </si>
  <si>
    <t>Full-Year Total</t>
  </si>
  <si>
    <t>Monthly Avg</t>
  </si>
  <si>
    <t>📅  QUARTERLY PERFORMANCE ROLLUP — 2024</t>
  </si>
  <si>
    <t>Quarter</t>
  </si>
  <si>
    <t>Revenue ($)</t>
  </si>
  <si>
    <t>Avg Margin (%)</t>
  </si>
  <si>
    <t>QoQ Growth (%)</t>
  </si>
  <si>
    <t>Q1 (Jan–Mar)</t>
  </si>
  <si>
    <t>Q2 (Apr–Jun)</t>
  </si>
  <si>
    <t>Q3 (Jul–Sep)</t>
  </si>
  <si>
    <t>Q4 (Oct–Dec)</t>
  </si>
  <si>
    <t>📉  TREND ANALYSIS — Growth Rates, Highs &amp; Lows, Statistical Summary</t>
  </si>
  <si>
    <t>REVENUE ANALYTICS</t>
  </si>
  <si>
    <t>Annual Total</t>
  </si>
  <si>
    <t>Monthly Average</t>
  </si>
  <si>
    <t>Peak Month Revenue</t>
  </si>
  <si>
    <t>Lowest Month Revenue</t>
  </si>
  <si>
    <t>Revenue Range</t>
  </si>
  <si>
    <t>Full-Year Growth</t>
  </si>
  <si>
    <t>Best MoM Growth</t>
  </si>
  <si>
    <t>PROFITABILITY</t>
  </si>
  <si>
    <t>Total Gross Profit</t>
  </si>
  <si>
    <t>Avg Monthly Profit</t>
  </si>
  <si>
    <t>Best Margin Month</t>
  </si>
  <si>
    <t>Weakest Margin Month</t>
  </si>
  <si>
    <t>Avg Profit Margin</t>
  </si>
  <si>
    <t>CUSTOMERS &amp; VOLUME</t>
  </si>
  <si>
    <t>Total New Customers</t>
  </si>
  <si>
    <t>Avg New Cust/Month</t>
  </si>
  <si>
    <t>Total Units Sold</t>
  </si>
  <si>
    <t>Avg Units/Month</t>
  </si>
  <si>
    <t>MONTHLY REVENUE HEATMAP (darker = higher revenue)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</si>
</sst>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&quot;$&quot;#,##0"/>
    <numFmt numFmtId="177" formatCode="0.0%"/>
    <numFmt numFmtId="178" formatCode="0.0"/>
  </numFmts>
  <fonts count="40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color rgb="FFFFFFFF"/>
      <name val="Arial"/>
      <charset val="134"/>
    </font>
    <font>
      <sz val="10"/>
      <color rgb="FF222222"/>
      <name val="Arial"/>
      <charset val="134"/>
    </font>
    <font>
      <b/>
      <sz val="11"/>
      <color rgb="FF222222"/>
      <name val="Arial"/>
      <charset val="134"/>
    </font>
    <font>
      <b/>
      <sz val="9"/>
      <color rgb="FF333333"/>
      <name val="Arial"/>
      <charset val="134"/>
    </font>
    <font>
      <b/>
      <sz val="10"/>
      <color rgb="FF1E3A5F"/>
      <name val="Arial"/>
      <charset val="134"/>
    </font>
    <font>
      <b/>
      <sz val="10"/>
      <color rgb="FFFFFFFF"/>
      <name val="Arial"/>
      <charset val="134"/>
    </font>
    <font>
      <sz val="11"/>
      <color rgb="FF222222"/>
      <name val="Arial"/>
      <charset val="134"/>
    </font>
    <font>
      <i/>
      <sz val="10"/>
      <color rgb="FF546E7A"/>
      <name val="Arial"/>
      <charset val="134"/>
    </font>
    <font>
      <b/>
      <sz val="12"/>
      <color rgb="FFFFFFFF"/>
      <name val="Arial"/>
      <charset val="134"/>
    </font>
    <font>
      <b/>
      <sz val="16"/>
      <color rgb="FFFFFFFF"/>
      <name val="Arial"/>
      <charset val="134"/>
    </font>
    <font>
      <b/>
      <sz val="12"/>
      <color rgb="FFDDDDFF"/>
      <name val="Arial"/>
      <charset val="134"/>
    </font>
    <font>
      <b/>
      <sz val="22"/>
      <color rgb="FFFFFFFF"/>
      <name val="Arial"/>
      <charset val="134"/>
    </font>
    <font>
      <b/>
      <sz val="10"/>
      <color rgb="FF222222"/>
      <name val="Arial"/>
      <charset val="134"/>
    </font>
    <font>
      <b/>
      <sz val="10"/>
      <color rgb="FF1B5E20"/>
      <name val="Arial"/>
      <charset val="134"/>
    </font>
    <font>
      <b/>
      <sz val="10"/>
      <color rgb="FF9C1C1C"/>
      <name val="Arial"/>
      <charset val="134"/>
    </font>
    <font>
      <b/>
      <sz val="15"/>
      <color rgb="FFFFFFFF"/>
      <name val="Arial"/>
      <charset val="134"/>
    </font>
    <font>
      <i/>
      <sz val="10"/>
      <color rgb="FF333333"/>
      <name val="Arial"/>
      <charset val="134"/>
    </font>
    <font>
      <b/>
      <sz val="10"/>
      <color rgb="FF00008B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E0EEF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70A6D6"/>
        <bgColor indexed="64"/>
      </patternFill>
    </fill>
    <fill>
      <patternFill patternType="solid">
        <fgColor rgb="FF4F8FC0"/>
        <bgColor indexed="64"/>
      </patternFill>
    </fill>
    <fill>
      <patternFill patternType="solid">
        <fgColor rgb="FF1A5C99"/>
        <bgColor indexed="64"/>
      </patternFill>
    </fill>
    <fill>
      <patternFill patternType="solid">
        <fgColor rgb="FF0D4880"/>
        <bgColor indexed="64"/>
      </patternFill>
    </fill>
    <fill>
      <patternFill patternType="solid">
        <fgColor rgb="FF162D4A"/>
        <bgColor indexed="64"/>
      </patternFill>
    </fill>
    <fill>
      <patternFill patternType="solid">
        <fgColor rgb="FF0D2035"/>
        <bgColor indexed="64"/>
      </patternFill>
    </fill>
    <fill>
      <patternFill patternType="solid">
        <fgColor rgb="FF081525"/>
        <bgColor indexed="64"/>
      </patternFill>
    </fill>
    <fill>
      <patternFill patternType="solid">
        <fgColor rgb="FF030A10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155E7A"/>
        <bgColor indexed="64"/>
      </patternFill>
    </fill>
    <fill>
      <patternFill patternType="solid">
        <fgColor rgb="FF4A148C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90A4AE"/>
      </left>
      <right style="thin">
        <color rgb="FF90A4AE"/>
      </right>
      <top style="thin">
        <color rgb="FF90A4AE"/>
      </top>
      <bottom style="thin">
        <color rgb="FF90A4AE"/>
      </bottom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23" borderId="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4" borderId="7" applyNumberFormat="0" applyAlignment="0" applyProtection="0">
      <alignment vertical="center"/>
    </xf>
    <xf numFmtId="0" fontId="30" fillId="25" borderId="8" applyNumberFormat="0" applyAlignment="0" applyProtection="0">
      <alignment vertical="center"/>
    </xf>
    <xf numFmtId="0" fontId="31" fillId="25" borderId="7" applyNumberFormat="0" applyAlignment="0" applyProtection="0">
      <alignment vertical="center"/>
    </xf>
    <xf numFmtId="0" fontId="32" fillId="26" borderId="9" applyNumberFormat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</cellStyleXfs>
  <cellXfs count="8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76" fontId="4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right" vertical="center"/>
    </xf>
    <xf numFmtId="177" fontId="4" fillId="5" borderId="1" xfId="0" applyNumberFormat="1" applyFont="1" applyFill="1" applyBorder="1" applyAlignment="1">
      <alignment horizontal="right" vertical="center"/>
    </xf>
    <xf numFmtId="177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178" fontId="4" fillId="5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76" fontId="6" fillId="7" borderId="1" xfId="0" applyNumberFormat="1" applyFont="1" applyFill="1" applyBorder="1" applyAlignment="1">
      <alignment horizontal="center" vertical="center"/>
    </xf>
    <xf numFmtId="176" fontId="6" fillId="8" borderId="1" xfId="0" applyNumberFormat="1" applyFont="1" applyFill="1" applyBorder="1" applyAlignment="1">
      <alignment horizontal="center" vertical="center"/>
    </xf>
    <xf numFmtId="176" fontId="6" fillId="9" borderId="1" xfId="0" applyNumberFormat="1" applyFont="1" applyFill="1" applyBorder="1" applyAlignment="1">
      <alignment horizontal="center" vertical="center"/>
    </xf>
    <xf numFmtId="176" fontId="6" fillId="10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7" fillId="11" borderId="1" xfId="0" applyNumberFormat="1" applyFont="1" applyFill="1" applyBorder="1" applyAlignment="1">
      <alignment horizontal="center" vertical="center"/>
    </xf>
    <xf numFmtId="176" fontId="7" fillId="12" borderId="1" xfId="0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7" fillId="13" borderId="1" xfId="0" applyNumberFormat="1" applyFont="1" applyFill="1" applyBorder="1" applyAlignment="1">
      <alignment horizontal="center" vertical="center"/>
    </xf>
    <xf numFmtId="176" fontId="7" fillId="14" borderId="1" xfId="0" applyNumberFormat="1" applyFont="1" applyFill="1" applyBorder="1" applyAlignment="1">
      <alignment horizontal="center" vertical="center"/>
    </xf>
    <xf numFmtId="176" fontId="7" fillId="15" borderId="1" xfId="0" applyNumberFormat="1" applyFont="1" applyFill="1" applyBorder="1" applyAlignment="1">
      <alignment horizontal="center" vertical="center"/>
    </xf>
    <xf numFmtId="176" fontId="7" fillId="16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8" fillId="5" borderId="1" xfId="0" applyNumberFormat="1" applyFont="1" applyFill="1" applyBorder="1" applyAlignment="1">
      <alignment horizontal="right" vertical="center"/>
    </xf>
    <xf numFmtId="176" fontId="8" fillId="5" borderId="1" xfId="0" applyNumberFormat="1" applyFont="1" applyFill="1" applyBorder="1" applyAlignment="1">
      <alignment horizontal="right" vertical="center"/>
    </xf>
    <xf numFmtId="177" fontId="8" fillId="5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8" fillId="4" borderId="1" xfId="0" applyNumberFormat="1" applyFont="1" applyFill="1" applyBorder="1" applyAlignment="1">
      <alignment horizontal="right" vertical="center"/>
    </xf>
    <xf numFmtId="176" fontId="8" fillId="4" borderId="1" xfId="0" applyNumberFormat="1" applyFont="1" applyFill="1" applyBorder="1" applyAlignment="1">
      <alignment horizontal="right" vertical="center"/>
    </xf>
    <xf numFmtId="177" fontId="8" fillId="4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right" vertical="center"/>
    </xf>
    <xf numFmtId="3" fontId="10" fillId="2" borderId="1" xfId="0" applyNumberFormat="1" applyFont="1" applyFill="1" applyBorder="1" applyAlignment="1">
      <alignment horizontal="right" vertical="center"/>
    </xf>
    <xf numFmtId="177" fontId="10" fillId="2" borderId="1" xfId="0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0" fillId="2" borderId="0" xfId="0" applyFill="1"/>
    <xf numFmtId="0" fontId="12" fillId="17" borderId="3" xfId="0" applyFont="1" applyFill="1" applyBorder="1" applyAlignment="1">
      <alignment horizontal="center" vertical="center"/>
    </xf>
    <xf numFmtId="0" fontId="0" fillId="17" borderId="0" xfId="0" applyFill="1"/>
    <xf numFmtId="0" fontId="12" fillId="18" borderId="3" xfId="0" applyFont="1" applyFill="1" applyBorder="1" applyAlignment="1">
      <alignment horizontal="center" vertical="center"/>
    </xf>
    <xf numFmtId="0" fontId="0" fillId="18" borderId="0" xfId="0" applyFill="1"/>
    <xf numFmtId="0" fontId="12" fillId="19" borderId="3" xfId="0" applyFont="1" applyFill="1" applyBorder="1" applyAlignment="1">
      <alignment horizontal="center" vertical="center"/>
    </xf>
    <xf numFmtId="0" fontId="0" fillId="19" borderId="0" xfId="0" applyFill="1"/>
    <xf numFmtId="176" fontId="13" fillId="2" borderId="3" xfId="0" applyNumberFormat="1" applyFont="1" applyFill="1" applyBorder="1" applyAlignment="1">
      <alignment horizontal="center" vertical="center"/>
    </xf>
    <xf numFmtId="3" fontId="13" fillId="17" borderId="3" xfId="0" applyNumberFormat="1" applyFont="1" applyFill="1" applyBorder="1" applyAlignment="1">
      <alignment horizontal="center" vertical="center"/>
    </xf>
    <xf numFmtId="3" fontId="13" fillId="18" borderId="3" xfId="0" applyNumberFormat="1" applyFont="1" applyFill="1" applyBorder="1" applyAlignment="1">
      <alignment horizontal="center" vertical="center"/>
    </xf>
    <xf numFmtId="177" fontId="13" fillId="19" borderId="3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3" fillId="20" borderId="1" xfId="0" applyFont="1" applyFill="1" applyBorder="1" applyAlignment="1">
      <alignment horizontal="center" vertical="center"/>
    </xf>
    <xf numFmtId="176" fontId="15" fillId="20" borderId="1" xfId="0" applyNumberFormat="1" applyFont="1" applyFill="1" applyBorder="1" applyAlignment="1">
      <alignment horizontal="right" vertical="center"/>
    </xf>
    <xf numFmtId="0" fontId="3" fillId="21" borderId="1" xfId="0" applyFont="1" applyFill="1" applyBorder="1" applyAlignment="1">
      <alignment horizontal="center" vertical="center"/>
    </xf>
    <xf numFmtId="176" fontId="16" fillId="21" borderId="1" xfId="0" applyNumberFormat="1" applyFont="1" applyFill="1" applyBorder="1" applyAlignment="1">
      <alignment horizontal="right" vertical="center"/>
    </xf>
    <xf numFmtId="176" fontId="14" fillId="5" borderId="1" xfId="0" applyNumberFormat="1" applyFont="1" applyFill="1" applyBorder="1" applyAlignment="1">
      <alignment horizontal="right" vertical="center"/>
    </xf>
    <xf numFmtId="176" fontId="3" fillId="5" borderId="1" xfId="0" applyNumberFormat="1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left" vertical="center"/>
    </xf>
    <xf numFmtId="3" fontId="15" fillId="20" borderId="1" xfId="0" applyNumberFormat="1" applyFont="1" applyFill="1" applyBorder="1" applyAlignment="1">
      <alignment horizontal="right" vertical="center"/>
    </xf>
    <xf numFmtId="3" fontId="16" fillId="21" borderId="1" xfId="0" applyNumberFormat="1" applyFont="1" applyFill="1" applyBorder="1" applyAlignment="1">
      <alignment horizontal="right" vertical="center"/>
    </xf>
    <xf numFmtId="3" fontId="14" fillId="4" borderId="1" xfId="0" applyNumberFormat="1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3" fontId="14" fillId="5" borderId="1" xfId="0" applyNumberFormat="1" applyFont="1" applyFill="1" applyBorder="1" applyAlignment="1">
      <alignment horizontal="right" vertical="center"/>
    </xf>
    <xf numFmtId="178" fontId="3" fillId="5" borderId="1" xfId="0" applyNumberFormat="1" applyFont="1" applyFill="1" applyBorder="1" applyAlignment="1">
      <alignment horizontal="right" vertical="center"/>
    </xf>
    <xf numFmtId="176" fontId="14" fillId="4" borderId="1" xfId="0" applyNumberFormat="1" applyFont="1" applyFill="1" applyBorder="1" applyAlignment="1">
      <alignment horizontal="right" vertical="center"/>
    </xf>
    <xf numFmtId="176" fontId="3" fillId="4" borderId="1" xfId="0" applyNumberFormat="1" applyFont="1" applyFill="1" applyBorder="1" applyAlignment="1">
      <alignment horizontal="right" vertical="center"/>
    </xf>
    <xf numFmtId="177" fontId="15" fillId="20" borderId="1" xfId="0" applyNumberFormat="1" applyFont="1" applyFill="1" applyBorder="1" applyAlignment="1">
      <alignment horizontal="right" vertical="center"/>
    </xf>
    <xf numFmtId="177" fontId="16" fillId="21" borderId="1" xfId="0" applyNumberFormat="1" applyFont="1" applyFill="1" applyBorder="1" applyAlignment="1">
      <alignment horizontal="right" vertical="center"/>
    </xf>
    <xf numFmtId="177" fontId="14" fillId="5" borderId="1" xfId="0" applyNumberFormat="1" applyFont="1" applyFill="1" applyBorder="1" applyAlignment="1">
      <alignment horizontal="right" vertical="center"/>
    </xf>
    <xf numFmtId="177" fontId="3" fillId="5" borderId="1" xfId="0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horizontal="center" vertical="center"/>
    </xf>
    <xf numFmtId="0" fontId="18" fillId="22" borderId="0" xfId="0" applyFont="1" applyFill="1" applyAlignment="1">
      <alignment horizontal="center" vertical="center"/>
    </xf>
    <xf numFmtId="176" fontId="19" fillId="5" borderId="1" xfId="0" applyNumberFormat="1" applyFont="1" applyFill="1" applyBorder="1" applyAlignment="1">
      <alignment horizontal="right" vertical="center"/>
    </xf>
    <xf numFmtId="3" fontId="19" fillId="5" borderId="1" xfId="0" applyNumberFormat="1" applyFont="1" applyFill="1" applyBorder="1" applyAlignment="1">
      <alignment horizontal="right" vertical="center"/>
    </xf>
    <xf numFmtId="176" fontId="19" fillId="4" borderId="1" xfId="0" applyNumberFormat="1" applyFont="1" applyFill="1" applyBorder="1" applyAlignment="1">
      <alignment horizontal="right" vertical="center"/>
    </xf>
    <xf numFmtId="3" fontId="19" fillId="4" borderId="1" xfId="0" applyNumberFormat="1" applyFont="1" applyFill="1" applyBorder="1" applyAlignment="1">
      <alignment horizontal="right" vertical="center"/>
    </xf>
    <xf numFmtId="177" fontId="3" fillId="4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177" fontId="2" fillId="2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right" vertical="center"/>
    </xf>
    <xf numFmtId="3" fontId="7" fillId="3" borderId="1" xfId="0" applyNumberFormat="1" applyFont="1" applyFill="1" applyBorder="1" applyAlignment="1">
      <alignment horizontal="right" vertical="center"/>
    </xf>
    <xf numFmtId="177" fontId="7" fillId="3" borderId="1" xfId="0" applyNumberFormat="1" applyFont="1" applyFill="1" applyBorder="1" applyAlignment="1">
      <alignment horizontal="right" vertical="center"/>
    </xf>
    <xf numFmtId="49" fontId="7" fillId="3" borderId="1" xfId="0" applyNumberFormat="1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Sales Revenue 2024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Data'!$B$3</c:f>
              <c:strCache>
                <c:ptCount val="1"/>
                <c:pt idx="0">
                  <c:v>Sales Revenue ($)</c:v>
                </c:pt>
              </c:strCache>
            </c:strRef>
          </c:tx>
          <c:spPr>
            <a:solidFill>
              <a:srgbClr val="2E75B6"/>
            </a:solidFill>
            <a:ln w="9525" cap="flat" cmpd="sng" algn="ctr">
              <a:solidFill>
                <a:srgbClr val="1A4F8A"/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'Monthly Data'!$A$4:$A$15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Data'!$B$4:$B$15</c:f>
              <c:numCache>
                <c:formatCode>"$"#,##0</c:formatCode>
                <c:ptCount val="12"/>
                <c:pt idx="0">
                  <c:v>142500</c:v>
                </c:pt>
                <c:pt idx="1">
                  <c:v>128300</c:v>
                </c:pt>
                <c:pt idx="2">
                  <c:v>155800</c:v>
                </c:pt>
                <c:pt idx="3">
                  <c:v>163200</c:v>
                </c:pt>
                <c:pt idx="4">
                  <c:v>179400</c:v>
                </c:pt>
                <c:pt idx="5">
                  <c:v>195600</c:v>
                </c:pt>
                <c:pt idx="6">
                  <c:v>188300</c:v>
                </c:pt>
                <c:pt idx="7">
                  <c:v>201500</c:v>
                </c:pt>
                <c:pt idx="8">
                  <c:v>217800</c:v>
                </c:pt>
                <c:pt idx="9">
                  <c:v>234600</c:v>
                </c:pt>
                <c:pt idx="10">
                  <c:v>251200</c:v>
                </c:pt>
                <c:pt idx="11">
                  <c:v>278900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'Monthly Data'!$F$3</c:f>
              <c:strCache>
                <c:ptCount val="1"/>
                <c:pt idx="0">
                  <c:v>Gross Profit ($)</c:v>
                </c:pt>
              </c:strCache>
            </c:strRef>
          </c:tx>
          <c:spPr>
            <a:ln w="25000" cap="rnd" cmpd="sng" algn="ctr">
              <a:solidFill>
                <a:srgbClr val="C0392B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'Monthly Data'!$F$4:$F$15</c:f>
              <c:numCache>
                <c:formatCode>"$"#,##0</c:formatCode>
                <c:ptCount val="12"/>
                <c:pt idx="0">
                  <c:v>44100</c:v>
                </c:pt>
                <c:pt idx="1">
                  <c:v>37100</c:v>
                </c:pt>
                <c:pt idx="2">
                  <c:v>51200</c:v>
                </c:pt>
                <c:pt idx="3">
                  <c:v>53400</c:v>
                </c:pt>
                <c:pt idx="4">
                  <c:v>60900</c:v>
                </c:pt>
                <c:pt idx="5">
                  <c:v>68300</c:v>
                </c:pt>
                <c:pt idx="6">
                  <c:v>64200</c:v>
                </c:pt>
                <c:pt idx="7">
                  <c:v>70300</c:v>
                </c:pt>
                <c:pt idx="8">
                  <c:v>78900</c:v>
                </c:pt>
                <c:pt idx="9">
                  <c:v>87900</c:v>
                </c:pt>
                <c:pt idx="10">
                  <c:v>96400</c:v>
                </c:pt>
                <c:pt idx="11">
                  <c:v>111600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 ($)</a:t>
                </a:r>
              </a:p>
            </c:rich>
          </c:tx>
          <c:layout/>
          <c:overlay val="0"/>
        </c:title>
        <c:numFmt formatCode="&quot;$&quot;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99bc67-e690-4249-b7b2-7ee1a61b8de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Profit Margin % — Monthly Trend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Data'!$G$3</c:f>
              <c:strCache>
                <c:ptCount val="1"/>
                <c:pt idx="0">
                  <c:v>Profit Margin (%)</c:v>
                </c:pt>
              </c:strCache>
            </c:strRef>
          </c:tx>
          <c:spPr>
            <a:ln w="28000" cap="rnd" cmpd="sng" algn="ctr">
              <a:solidFill>
                <a:srgbClr val="1B5E2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'Monthly Data'!$A$4:$A$15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Data'!$G$4:$G$15</c:f>
              <c:numCache>
                <c:formatCode>0.0%</c:formatCode>
                <c:ptCount val="12"/>
                <c:pt idx="0">
                  <c:v>0.309473684210526</c:v>
                </c:pt>
                <c:pt idx="1">
                  <c:v>0.289166017147311</c:v>
                </c:pt>
                <c:pt idx="2">
                  <c:v>0.328626444159178</c:v>
                </c:pt>
                <c:pt idx="3">
                  <c:v>0.327205882352941</c:v>
                </c:pt>
                <c:pt idx="4">
                  <c:v>0.339464882943144</c:v>
                </c:pt>
                <c:pt idx="5">
                  <c:v>0.34918200408998</c:v>
                </c:pt>
                <c:pt idx="6">
                  <c:v>0.340945300053107</c:v>
                </c:pt>
                <c:pt idx="7">
                  <c:v>0.348883374689826</c:v>
                </c:pt>
                <c:pt idx="8">
                  <c:v>0.362258953168044</c:v>
                </c:pt>
                <c:pt idx="9">
                  <c:v>0.374680306905371</c:v>
                </c:pt>
                <c:pt idx="10">
                  <c:v>0.38375796178344</c:v>
                </c:pt>
                <c:pt idx="11">
                  <c:v>0.400143420580853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Margin %</a:t>
                </a:r>
              </a:p>
            </c:rich>
          </c:tx>
          <c:layout/>
          <c:overlay val="0"/>
        </c:title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36041d-7b4c-422c-88c3-3104d2bd528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Revenue vs Expenses vs Profit — Monthly 2024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Data'!$B$3</c:f>
              <c:strCache>
                <c:ptCount val="1"/>
                <c:pt idx="0">
                  <c:v>Sales Revenue ($)</c:v>
                </c:pt>
              </c:strCache>
            </c:strRef>
          </c:tx>
          <c:spPr>
            <a:solidFill>
              <a:srgbClr val="2E75B6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'Monthly Data'!$A$4:$A$15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Data'!$B$4:$B$15</c:f>
              <c:numCache>
                <c:formatCode>"$"#,##0</c:formatCode>
                <c:ptCount val="12"/>
                <c:pt idx="0">
                  <c:v>142500</c:v>
                </c:pt>
                <c:pt idx="1">
                  <c:v>128300</c:v>
                </c:pt>
                <c:pt idx="2">
                  <c:v>155800</c:v>
                </c:pt>
                <c:pt idx="3">
                  <c:v>163200</c:v>
                </c:pt>
                <c:pt idx="4">
                  <c:v>179400</c:v>
                </c:pt>
                <c:pt idx="5">
                  <c:v>195600</c:v>
                </c:pt>
                <c:pt idx="6">
                  <c:v>188300</c:v>
                </c:pt>
                <c:pt idx="7">
                  <c:v>201500</c:v>
                </c:pt>
                <c:pt idx="8">
                  <c:v>217800</c:v>
                </c:pt>
                <c:pt idx="9">
                  <c:v>234600</c:v>
                </c:pt>
                <c:pt idx="10">
                  <c:v>251200</c:v>
                </c:pt>
                <c:pt idx="11">
                  <c:v>278900</c:v>
                </c:pt>
              </c:numCache>
            </c:numRef>
          </c:val>
        </c:ser>
        <c:ser>
          <c:idx val="1"/>
          <c:order val="1"/>
          <c:tx>
            <c:strRef>
              <c:f>'Monthly Data'!$E$3</c:f>
              <c:strCache>
                <c:ptCount val="1"/>
                <c:pt idx="0">
                  <c:v>Expenses ($)</c:v>
                </c:pt>
              </c:strCache>
            </c:strRef>
          </c:tx>
          <c:spPr>
            <a:solidFill>
              <a:srgbClr val="C62828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'Monthly Data'!$A$4:$A$15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Data'!$E$4:$E$15</c:f>
              <c:numCache>
                <c:formatCode>"$"#,##0</c:formatCode>
                <c:ptCount val="12"/>
                <c:pt idx="0">
                  <c:v>98400</c:v>
                </c:pt>
                <c:pt idx="1">
                  <c:v>91200</c:v>
                </c:pt>
                <c:pt idx="2">
                  <c:v>104600</c:v>
                </c:pt>
                <c:pt idx="3">
                  <c:v>109800</c:v>
                </c:pt>
                <c:pt idx="4">
                  <c:v>118500</c:v>
                </c:pt>
                <c:pt idx="5">
                  <c:v>127300</c:v>
                </c:pt>
                <c:pt idx="6">
                  <c:v>124100</c:v>
                </c:pt>
                <c:pt idx="7">
                  <c:v>131200</c:v>
                </c:pt>
                <c:pt idx="8">
                  <c:v>138900</c:v>
                </c:pt>
                <c:pt idx="9">
                  <c:v>146700</c:v>
                </c:pt>
                <c:pt idx="10">
                  <c:v>154800</c:v>
                </c:pt>
                <c:pt idx="11">
                  <c:v>167300</c:v>
                </c:pt>
              </c:numCache>
            </c:numRef>
          </c:val>
        </c:ser>
        <c:ser>
          <c:idx val="2"/>
          <c:order val="2"/>
          <c:tx>
            <c:strRef>
              <c:f>'Monthly Data'!$F$3</c:f>
              <c:strCache>
                <c:ptCount val="1"/>
                <c:pt idx="0">
                  <c:v>Gross Profit ($)</c:v>
                </c:pt>
              </c:strCache>
            </c:strRef>
          </c:tx>
          <c:spPr>
            <a:solidFill>
              <a:srgbClr val="2E7D32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'Monthly Data'!$A$4:$A$15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Data'!$F$4:$F$15</c:f>
              <c:numCache>
                <c:formatCode>"$"#,##0</c:formatCode>
                <c:ptCount val="12"/>
                <c:pt idx="0">
                  <c:v>44100</c:v>
                </c:pt>
                <c:pt idx="1">
                  <c:v>37100</c:v>
                </c:pt>
                <c:pt idx="2">
                  <c:v>51200</c:v>
                </c:pt>
                <c:pt idx="3">
                  <c:v>53400</c:v>
                </c:pt>
                <c:pt idx="4">
                  <c:v>60900</c:v>
                </c:pt>
                <c:pt idx="5">
                  <c:v>68300</c:v>
                </c:pt>
                <c:pt idx="6">
                  <c:v>64200</c:v>
                </c:pt>
                <c:pt idx="7">
                  <c:v>70300</c:v>
                </c:pt>
                <c:pt idx="8">
                  <c:v>78900</c:v>
                </c:pt>
                <c:pt idx="9">
                  <c:v>87900</c:v>
                </c:pt>
                <c:pt idx="10">
                  <c:v>96400</c:v>
                </c:pt>
                <c:pt idx="11">
                  <c:v>111600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Amount ($)</a:t>
                </a:r>
              </a:p>
            </c:rich>
          </c:tx>
          <c:layout/>
          <c:overlay val="0"/>
        </c:title>
        <c:numFmt formatCode="&quot;$&quot;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0e3f090-3b8f-416c-a556-7e3fbee9464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Month-over-Month Revenue Growth %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Data'!$H$3</c:f>
              <c:strCache>
                <c:ptCount val="1"/>
                <c:pt idx="0">
                  <c:v>MoM Growth (%)</c:v>
                </c:pt>
              </c:strCache>
            </c:strRef>
          </c:tx>
          <c:spPr>
            <a:ln w="25000" cap="rnd" cmpd="sng" algn="ctr">
              <a:solidFill>
                <a:srgbClr val="E651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'Monthly Data'!$A$4:$A$15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Data'!$H$4:$H$15</c:f>
              <c:numCache>
                <c:formatCode>General</c:formatCode>
                <c:ptCount val="12"/>
                <c:pt idx="0">
                  <c:v>0</c:v>
                </c:pt>
                <c:pt idx="1" c:formatCode="0.0%">
                  <c:v>-0.0996491228070175</c:v>
                </c:pt>
                <c:pt idx="2" c:formatCode="0.0%">
                  <c:v>0.214341387373344</c:v>
                </c:pt>
                <c:pt idx="3" c:formatCode="0.0%">
                  <c:v>0.0474967907573813</c:v>
                </c:pt>
                <c:pt idx="4" c:formatCode="0.0%">
                  <c:v>0.0992647058823529</c:v>
                </c:pt>
                <c:pt idx="5" c:formatCode="0.0%">
                  <c:v>0.0903010033444816</c:v>
                </c:pt>
                <c:pt idx="6" c:formatCode="0.0%">
                  <c:v>-0.037321063394683</c:v>
                </c:pt>
                <c:pt idx="7" c:formatCode="0.0%">
                  <c:v>0.0701009028146575</c:v>
                </c:pt>
                <c:pt idx="8" c:formatCode="0.0%">
                  <c:v>0.080893300248139</c:v>
                </c:pt>
                <c:pt idx="9" c:formatCode="0.0%">
                  <c:v>0.0771349862258953</c:v>
                </c:pt>
                <c:pt idx="10" c:formatCode="0.0%">
                  <c:v>0.0707587382779199</c:v>
                </c:pt>
                <c:pt idx="11" c:formatCode="0.0%">
                  <c:v>0.110270700636943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Growth %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b5c63c6-89c1-4d4e-ade0-401522d82d9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Quarterly Revenue vs Profit — 2024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'Quarterly Rollup'!$B$2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2E75B6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'Quarterly Rollup'!$A$3:$A$6</c:f>
              <c:strCache>
                <c:ptCount val="4"/>
                <c:pt idx="0">
                  <c:v>Q1 (Jan–Mar)</c:v>
                </c:pt>
                <c:pt idx="1">
                  <c:v>Q2 (Apr–Jun)</c:v>
                </c:pt>
                <c:pt idx="2">
                  <c:v>Q3 (Jul–Sep)</c:v>
                </c:pt>
                <c:pt idx="3">
                  <c:v>Q4 (Oct–Dec)</c:v>
                </c:pt>
              </c:strCache>
            </c:strRef>
          </c:cat>
          <c:val>
            <c:numRef>
              <c:f>'Quarterly Rollup'!$B$3:$B$6</c:f>
              <c:numCache>
                <c:formatCode>"$"#,##0</c:formatCode>
                <c:ptCount val="4"/>
                <c:pt idx="0">
                  <c:v>426600</c:v>
                </c:pt>
                <c:pt idx="1">
                  <c:v>538200</c:v>
                </c:pt>
                <c:pt idx="2">
                  <c:v>607600</c:v>
                </c:pt>
                <c:pt idx="3">
                  <c:v>764700</c:v>
                </c:pt>
              </c:numCache>
            </c:numRef>
          </c:val>
        </c:ser>
        <c:ser>
          <c:idx val="1"/>
          <c:order val="1"/>
          <c:tx>
            <c:strRef>
              <c:f>'Quarterly Rollup'!$F$2</c:f>
              <c:strCache>
                <c:ptCount val="1"/>
                <c:pt idx="0">
                  <c:v>Gross Profit ($)</c:v>
                </c:pt>
              </c:strCache>
            </c:strRef>
          </c:tx>
          <c:spPr>
            <a:solidFill>
              <a:srgbClr val="2E7D32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'Quarterly Rollup'!$A$3:$A$6</c:f>
              <c:strCache>
                <c:ptCount val="4"/>
                <c:pt idx="0">
                  <c:v>Q1 (Jan–Mar)</c:v>
                </c:pt>
                <c:pt idx="1">
                  <c:v>Q2 (Apr–Jun)</c:v>
                </c:pt>
                <c:pt idx="2">
                  <c:v>Q3 (Jul–Sep)</c:v>
                </c:pt>
                <c:pt idx="3">
                  <c:v>Q4 (Oct–Dec)</c:v>
                </c:pt>
              </c:strCache>
            </c:strRef>
          </c:cat>
          <c:val>
            <c:numRef>
              <c:f>'Quarterly Rollup'!$F$3:$F$6</c:f>
              <c:numCache>
                <c:formatCode>"$"#,##0</c:formatCode>
                <c:ptCount val="4"/>
                <c:pt idx="0">
                  <c:v>132400</c:v>
                </c:pt>
                <c:pt idx="1">
                  <c:v>182600</c:v>
                </c:pt>
                <c:pt idx="2">
                  <c:v>213400</c:v>
                </c:pt>
                <c:pt idx="3">
                  <c:v>295900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Amount ($)</a:t>
                </a:r>
              </a:p>
            </c:rich>
          </c:tx>
          <c:layout/>
          <c:overlay val="0"/>
        </c:title>
        <c:numFmt formatCode="&quot;$&quot;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e89a32-fc8b-4ce7-a0cc-50db4a68749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Revenue Growth Trend — 12-Month View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Data'!$B$3</c:f>
              <c:strCache>
                <c:ptCount val="1"/>
                <c:pt idx="0">
                  <c:v>Sales Revenue ($)</c:v>
                </c:pt>
              </c:strCache>
            </c:strRef>
          </c:tx>
          <c:spPr>
            <a:ln w="30000" cap="rnd" cmpd="sng" algn="ctr">
              <a:solidFill>
                <a:srgbClr val="2E75B6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'Monthly Data'!$A$4:$A$15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Data'!$B$4:$B$15</c:f>
              <c:numCache>
                <c:formatCode>"$"#,##0</c:formatCode>
                <c:ptCount val="12"/>
                <c:pt idx="0">
                  <c:v>142500</c:v>
                </c:pt>
                <c:pt idx="1">
                  <c:v>128300</c:v>
                </c:pt>
                <c:pt idx="2">
                  <c:v>155800</c:v>
                </c:pt>
                <c:pt idx="3">
                  <c:v>163200</c:v>
                </c:pt>
                <c:pt idx="4">
                  <c:v>179400</c:v>
                </c:pt>
                <c:pt idx="5">
                  <c:v>195600</c:v>
                </c:pt>
                <c:pt idx="6">
                  <c:v>188300</c:v>
                </c:pt>
                <c:pt idx="7">
                  <c:v>201500</c:v>
                </c:pt>
                <c:pt idx="8">
                  <c:v>217800</c:v>
                </c:pt>
                <c:pt idx="9">
                  <c:v>234600</c:v>
                </c:pt>
                <c:pt idx="10">
                  <c:v>251200</c:v>
                </c:pt>
                <c:pt idx="11">
                  <c:v>278900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 ($)</a:t>
                </a:r>
              </a:p>
            </c:rich>
          </c:tx>
          <c:layout/>
          <c:overlay val="0"/>
        </c:title>
        <c:numFmt formatCode="&quot;$&quot;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8fc523-2770-491a-b1f2-386210ca6b1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18</xdr:row>
      <xdr:rowOff>0</xdr:rowOff>
    </xdr:from>
    <xdr:ext cx="7920000" cy="4680000"/>
    <xdr:graphicFrame>
      <xdr:nvGraphicFramePr>
        <xdr:cNvPr id="2" name="Chart 1"/>
        <xdr:cNvGraphicFramePr/>
      </xdr:nvGraphicFramePr>
      <xdr:xfrm>
        <a:off x="0" y="5295900"/>
        <a:ext cx="7919720" cy="4679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18</xdr:row>
      <xdr:rowOff>0</xdr:rowOff>
    </xdr:from>
    <xdr:ext cx="7920000" cy="4680000"/>
    <xdr:graphicFrame>
      <xdr:nvGraphicFramePr>
        <xdr:cNvPr id="3" name="Chart 2"/>
        <xdr:cNvGraphicFramePr/>
      </xdr:nvGraphicFramePr>
      <xdr:xfrm>
        <a:off x="10067925" y="5295900"/>
        <a:ext cx="7919720" cy="4679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10080000" cy="5760000"/>
    <xdr:graphicFrame>
      <xdr:nvGraphicFramePr>
        <xdr:cNvPr id="2" name="Chart 1"/>
        <xdr:cNvGraphicFramePr/>
      </xdr:nvGraphicFramePr>
      <xdr:xfrm>
        <a:off x="0" y="4289425"/>
        <a:ext cx="10079990" cy="5759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14</xdr:row>
      <xdr:rowOff>0</xdr:rowOff>
    </xdr:from>
    <xdr:ext cx="6480000" cy="4320000"/>
    <xdr:graphicFrame>
      <xdr:nvGraphicFramePr>
        <xdr:cNvPr id="3" name="Chart 2"/>
        <xdr:cNvGraphicFramePr/>
      </xdr:nvGraphicFramePr>
      <xdr:xfrm>
        <a:off x="8401050" y="4289425"/>
        <a:ext cx="6479540" cy="4319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8</xdr:row>
      <xdr:rowOff>0</xdr:rowOff>
    </xdr:from>
    <xdr:ext cx="7920000" cy="5040000"/>
    <xdr:graphicFrame>
      <xdr:nvGraphicFramePr>
        <xdr:cNvPr id="2" name="Chart 1"/>
        <xdr:cNvGraphicFramePr/>
      </xdr:nvGraphicFramePr>
      <xdr:xfrm>
        <a:off x="0" y="2705100"/>
        <a:ext cx="7919720" cy="5039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2</xdr:row>
      <xdr:rowOff>0</xdr:rowOff>
    </xdr:from>
    <xdr:ext cx="9360000" cy="5040000"/>
    <xdr:graphicFrame>
      <xdr:nvGraphicFramePr>
        <xdr:cNvPr id="2" name="Chart 1"/>
        <xdr:cNvGraphicFramePr/>
      </xdr:nvGraphicFramePr>
      <xdr:xfrm>
        <a:off x="2200275" y="647700"/>
        <a:ext cx="9359900" cy="5039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MonthlyData" displayName="MonthlyData" ref="A3:I15">
  <autoFilter xmlns:etc="http://www.wps.cn/officeDocument/2017/etCustomData" ref="A3:I15" etc:filterBottomFollowUsedRange="0"/>
  <tableColumns count="9">
    <tableColumn id="1" name="Month"/>
    <tableColumn id="2" name="Sales Revenue ($)"/>
    <tableColumn id="3" name="Units Sold"/>
    <tableColumn id="4" name="New Customers"/>
    <tableColumn id="5" name="Expenses ($)"/>
    <tableColumn id="6" name="Gross Profit ($)"/>
    <tableColumn id="7" name="Profit Margin (%)"/>
    <tableColumn id="8" name="MoM Growth (%)"/>
    <tableColumn id="9" name="vs Avg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pane xSplit="1" ySplit="3" topLeftCell="B7" activePane="bottomRight" state="frozen"/>
      <selection/>
      <selection pane="topRight"/>
      <selection pane="bottomLeft"/>
      <selection pane="bottomRight" activeCell="A1" sqref="A1:I1"/>
    </sheetView>
  </sheetViews>
  <sheetFormatPr defaultColWidth="9" defaultRowHeight="15"/>
  <cols>
    <col min="1" max="1" width="13" customWidth="1"/>
    <col min="2" max="2" width="19" customWidth="1"/>
    <col min="3" max="3" width="13" customWidth="1"/>
    <col min="4" max="5" width="16" customWidth="1"/>
    <col min="6" max="6" width="18" customWidth="1"/>
    <col min="7" max="7" width="17" customWidth="1"/>
    <col min="8" max="8" width="16" customWidth="1"/>
    <col min="9" max="9" width="14" customWidth="1"/>
  </cols>
  <sheetData>
    <row r="1" ht="38" customHeight="1" spans="1:9">
      <c r="A1" s="72" t="s">
        <v>0</v>
      </c>
    </row>
    <row r="2" ht="20" customHeight="1" spans="1:9">
      <c r="A2" s="73" t="s">
        <v>1</v>
      </c>
    </row>
    <row r="3" ht="30" customHeight="1" spans="1:9">
      <c r="A3" s="25" t="s">
        <v>2</v>
      </c>
      <c r="B3" s="25" t="s">
        <v>3</v>
      </c>
      <c r="C3" s="25" t="s">
        <v>4</v>
      </c>
      <c r="D3" s="25" t="s">
        <v>5</v>
      </c>
      <c r="E3" s="25" t="s">
        <v>6</v>
      </c>
      <c r="F3" s="25" t="s">
        <v>7</v>
      </c>
      <c r="G3" s="25" t="s">
        <v>8</v>
      </c>
      <c r="H3" s="25" t="s">
        <v>9</v>
      </c>
      <c r="I3" s="25" t="s">
        <v>10</v>
      </c>
    </row>
    <row r="4" ht="22" customHeight="1" spans="1:9">
      <c r="A4" s="52" t="s">
        <v>11</v>
      </c>
      <c r="B4" s="74">
        <v>142500</v>
      </c>
      <c r="C4" s="75">
        <v>285</v>
      </c>
      <c r="D4" s="75">
        <v>42</v>
      </c>
      <c r="E4" s="74">
        <v>98400</v>
      </c>
      <c r="F4" s="58">
        <f t="shared" ref="F4:F15" si="0">B4-E4</f>
        <v>44100</v>
      </c>
      <c r="G4" s="71">
        <f t="shared" ref="G4:G15" si="1">IF(B4&gt;0,F4/B4,0)</f>
        <v>0.309473684210526</v>
      </c>
      <c r="H4" s="30" t="s">
        <v>12</v>
      </c>
      <c r="I4" s="71">
        <f t="shared" ref="I4:I15" si="2">(B4-AVERAGE($B$4:$B$15))/AVERAGE($B$4:$B$15)</f>
        <v>-0.268323991271234</v>
      </c>
    </row>
    <row r="5" ht="22" customHeight="1" spans="1:9">
      <c r="A5" s="59" t="s">
        <v>13</v>
      </c>
      <c r="B5" s="76">
        <v>128300</v>
      </c>
      <c r="C5" s="77">
        <v>257</v>
      </c>
      <c r="D5" s="77">
        <v>38</v>
      </c>
      <c r="E5" s="76">
        <v>91200</v>
      </c>
      <c r="F5" s="67">
        <f t="shared" si="0"/>
        <v>37100</v>
      </c>
      <c r="G5" s="78">
        <f t="shared" si="1"/>
        <v>0.289166017147311</v>
      </c>
      <c r="H5" s="78">
        <f t="shared" ref="H5:H15" si="3">(B5-B4)/B4</f>
        <v>-0.0996491228070175</v>
      </c>
      <c r="I5" s="78">
        <f t="shared" si="2"/>
        <v>-0.341234863719995</v>
      </c>
    </row>
    <row r="6" ht="22" customHeight="1" spans="1:9">
      <c r="A6" s="52" t="s">
        <v>14</v>
      </c>
      <c r="B6" s="74">
        <v>155800</v>
      </c>
      <c r="C6" s="75">
        <v>312</v>
      </c>
      <c r="D6" s="75">
        <v>51</v>
      </c>
      <c r="E6" s="74">
        <v>104600</v>
      </c>
      <c r="F6" s="58">
        <f t="shared" si="0"/>
        <v>51200</v>
      </c>
      <c r="G6" s="71">
        <f t="shared" si="1"/>
        <v>0.328626444159178</v>
      </c>
      <c r="H6" s="71">
        <f t="shared" si="3"/>
        <v>0.214341387373344</v>
      </c>
      <c r="I6" s="71">
        <f t="shared" si="2"/>
        <v>-0.200034230456549</v>
      </c>
    </row>
    <row r="7" ht="22" customHeight="1" spans="1:9">
      <c r="A7" s="59" t="s">
        <v>15</v>
      </c>
      <c r="B7" s="76">
        <v>163200</v>
      </c>
      <c r="C7" s="77">
        <v>326</v>
      </c>
      <c r="D7" s="77">
        <v>56</v>
      </c>
      <c r="E7" s="76">
        <v>109800</v>
      </c>
      <c r="F7" s="67">
        <f t="shared" si="0"/>
        <v>53400</v>
      </c>
      <c r="G7" s="78">
        <f t="shared" si="1"/>
        <v>0.327205882352941</v>
      </c>
      <c r="H7" s="78">
        <f t="shared" si="3"/>
        <v>0.0474967907573813</v>
      </c>
      <c r="I7" s="78">
        <f t="shared" si="2"/>
        <v>-0.162038423687476</v>
      </c>
    </row>
    <row r="8" ht="22" customHeight="1" spans="1:9">
      <c r="A8" s="52" t="s">
        <v>16</v>
      </c>
      <c r="B8" s="74">
        <v>179400</v>
      </c>
      <c r="C8" s="75">
        <v>359</v>
      </c>
      <c r="D8" s="75">
        <v>63</v>
      </c>
      <c r="E8" s="74">
        <v>118500</v>
      </c>
      <c r="F8" s="58">
        <f t="shared" si="0"/>
        <v>60900</v>
      </c>
      <c r="G8" s="71">
        <f t="shared" si="1"/>
        <v>0.339464882943144</v>
      </c>
      <c r="H8" s="71">
        <f t="shared" si="3"/>
        <v>0.0992647058823529</v>
      </c>
      <c r="I8" s="71">
        <f t="shared" si="2"/>
        <v>-0.0788584142741004</v>
      </c>
    </row>
    <row r="9" ht="22" customHeight="1" spans="1:9">
      <c r="A9" s="59" t="s">
        <v>17</v>
      </c>
      <c r="B9" s="76">
        <v>195600</v>
      </c>
      <c r="C9" s="77">
        <v>391</v>
      </c>
      <c r="D9" s="77">
        <v>71</v>
      </c>
      <c r="E9" s="76">
        <v>127300</v>
      </c>
      <c r="F9" s="67">
        <f t="shared" si="0"/>
        <v>68300</v>
      </c>
      <c r="G9" s="78">
        <f t="shared" si="1"/>
        <v>0.34918200408998</v>
      </c>
      <c r="H9" s="78">
        <f t="shared" si="3"/>
        <v>0.0903010033444816</v>
      </c>
      <c r="I9" s="78">
        <f t="shared" si="2"/>
        <v>0.00432159513927512</v>
      </c>
    </row>
    <row r="10" ht="22" customHeight="1" spans="1:9">
      <c r="A10" s="52" t="s">
        <v>18</v>
      </c>
      <c r="B10" s="74">
        <v>188300</v>
      </c>
      <c r="C10" s="75">
        <v>377</v>
      </c>
      <c r="D10" s="75">
        <v>68</v>
      </c>
      <c r="E10" s="74">
        <v>124100</v>
      </c>
      <c r="F10" s="58">
        <f t="shared" si="0"/>
        <v>64200</v>
      </c>
      <c r="G10" s="71">
        <f t="shared" si="1"/>
        <v>0.340945300053107</v>
      </c>
      <c r="H10" s="71">
        <f t="shared" si="3"/>
        <v>-0.037321063394683</v>
      </c>
      <c r="I10" s="71">
        <f t="shared" si="2"/>
        <v>-0.033160754781567</v>
      </c>
    </row>
    <row r="11" ht="22" customHeight="1" spans="1:9">
      <c r="A11" s="59" t="s">
        <v>19</v>
      </c>
      <c r="B11" s="76">
        <v>201500</v>
      </c>
      <c r="C11" s="77">
        <v>403</v>
      </c>
      <c r="D11" s="77">
        <v>74</v>
      </c>
      <c r="E11" s="76">
        <v>131200</v>
      </c>
      <c r="F11" s="67">
        <f t="shared" si="0"/>
        <v>70300</v>
      </c>
      <c r="G11" s="78">
        <f t="shared" si="1"/>
        <v>0.348883374689826</v>
      </c>
      <c r="H11" s="78">
        <f t="shared" si="3"/>
        <v>0.0701009028146575</v>
      </c>
      <c r="I11" s="78">
        <f t="shared" si="2"/>
        <v>0.0346155491848872</v>
      </c>
    </row>
    <row r="12" ht="22" customHeight="1" spans="1:9">
      <c r="A12" s="52" t="s">
        <v>20</v>
      </c>
      <c r="B12" s="74">
        <v>217800</v>
      </c>
      <c r="C12" s="75">
        <v>436</v>
      </c>
      <c r="D12" s="75">
        <v>82</v>
      </c>
      <c r="E12" s="74">
        <v>138900</v>
      </c>
      <c r="F12" s="58">
        <f t="shared" si="0"/>
        <v>78900</v>
      </c>
      <c r="G12" s="71">
        <f t="shared" si="1"/>
        <v>0.362258953168044</v>
      </c>
      <c r="H12" s="71">
        <f t="shared" si="3"/>
        <v>0.080893300248139</v>
      </c>
      <c r="I12" s="71">
        <f t="shared" si="2"/>
        <v>0.118309015446493</v>
      </c>
    </row>
    <row r="13" ht="22" customHeight="1" spans="1:9">
      <c r="A13" s="59" t="s">
        <v>21</v>
      </c>
      <c r="B13" s="76">
        <v>234600</v>
      </c>
      <c r="C13" s="77">
        <v>469</v>
      </c>
      <c r="D13" s="77">
        <v>89</v>
      </c>
      <c r="E13" s="76">
        <v>146700</v>
      </c>
      <c r="F13" s="67">
        <f t="shared" si="0"/>
        <v>87900</v>
      </c>
      <c r="G13" s="78">
        <f t="shared" si="1"/>
        <v>0.374680306905371</v>
      </c>
      <c r="H13" s="78">
        <f t="shared" si="3"/>
        <v>0.0771349862258953</v>
      </c>
      <c r="I13" s="78">
        <f t="shared" si="2"/>
        <v>0.204569765949253</v>
      </c>
    </row>
    <row r="14" ht="22" customHeight="1" spans="1:9">
      <c r="A14" s="52" t="s">
        <v>22</v>
      </c>
      <c r="B14" s="74">
        <v>251200</v>
      </c>
      <c r="C14" s="75">
        <v>502</v>
      </c>
      <c r="D14" s="75">
        <v>97</v>
      </c>
      <c r="E14" s="74">
        <v>154800</v>
      </c>
      <c r="F14" s="58">
        <f t="shared" si="0"/>
        <v>96400</v>
      </c>
      <c r="G14" s="71">
        <f t="shared" si="1"/>
        <v>0.38375796178344</v>
      </c>
      <c r="H14" s="71">
        <f t="shared" si="3"/>
        <v>0.0707587382779199</v>
      </c>
      <c r="I14" s="71">
        <f t="shared" si="2"/>
        <v>0.289803602755552</v>
      </c>
    </row>
    <row r="15" ht="22" customHeight="1" spans="1:9">
      <c r="A15" s="59" t="s">
        <v>23</v>
      </c>
      <c r="B15" s="76">
        <v>278900</v>
      </c>
      <c r="C15" s="77">
        <v>558</v>
      </c>
      <c r="D15" s="77">
        <v>112</v>
      </c>
      <c r="E15" s="76">
        <v>167300</v>
      </c>
      <c r="F15" s="67">
        <f t="shared" si="0"/>
        <v>111600</v>
      </c>
      <c r="G15" s="78">
        <f t="shared" si="1"/>
        <v>0.400143420580853</v>
      </c>
      <c r="H15" s="78">
        <f t="shared" si="3"/>
        <v>0.110270700636943</v>
      </c>
      <c r="I15" s="78">
        <f t="shared" si="2"/>
        <v>0.432031149715459</v>
      </c>
    </row>
    <row r="16" ht="26" customHeight="1" spans="1:9">
      <c r="A16" s="79" t="s">
        <v>24</v>
      </c>
      <c r="B16" s="80">
        <f>SUM(B4:B15)</f>
        <v>2337100</v>
      </c>
      <c r="C16" s="81">
        <f>SUM(C4:C15)</f>
        <v>4675</v>
      </c>
      <c r="D16" s="81">
        <f>SUM(D4:D15)</f>
        <v>843</v>
      </c>
      <c r="E16" s="80">
        <f>SUM(E4:E15)</f>
        <v>1512800</v>
      </c>
      <c r="F16" s="80">
        <f>SUM(F4:F15)</f>
        <v>824300</v>
      </c>
      <c r="G16" s="82">
        <f>F16/B16</f>
        <v>0.352702066663814</v>
      </c>
      <c r="H16" s="82">
        <f>(B15-B4)/B4</f>
        <v>0.95719298245614</v>
      </c>
      <c r="I16" s="83" t="s">
        <v>12</v>
      </c>
    </row>
    <row r="17" ht="24" customHeight="1" spans="1:9">
      <c r="A17" s="84" t="s">
        <v>25</v>
      </c>
      <c r="B17" s="85">
        <f t="shared" ref="B17:G17" si="4">AVERAGE(B4:B15)</f>
        <v>194758.333333333</v>
      </c>
      <c r="C17" s="86">
        <f t="shared" si="4"/>
        <v>389.583333333333</v>
      </c>
      <c r="D17" s="86">
        <f t="shared" si="4"/>
        <v>70.25</v>
      </c>
      <c r="E17" s="85">
        <f t="shared" si="4"/>
        <v>126066.666666667</v>
      </c>
      <c r="F17" s="85">
        <f t="shared" si="4"/>
        <v>68691.6666666667</v>
      </c>
      <c r="G17" s="87">
        <f t="shared" si="4"/>
        <v>0.34614901934031</v>
      </c>
      <c r="H17" s="87">
        <f>AVERAGE(H5:H15)</f>
        <v>0.0657811208508558</v>
      </c>
      <c r="I17" s="88" t="s">
        <v>12</v>
      </c>
    </row>
  </sheetData>
  <mergeCells count="2">
    <mergeCell ref="A1:I1"/>
    <mergeCell ref="A2:I2"/>
  </mergeCells>
  <pageMargins left="0.75" right="0.75" top="1" bottom="1" header="0.5" footer="0.5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pane ySplit="7" topLeftCell="A8" activePane="bottomLeft" state="frozen"/>
      <selection/>
      <selection pane="bottomLeft" activeCell="A1" sqref="A1:L1"/>
    </sheetView>
  </sheetViews>
  <sheetFormatPr defaultColWidth="9" defaultRowHeight="15"/>
  <cols>
    <col min="1" max="1" width="20" customWidth="1"/>
    <col min="2" max="2" width="14" customWidth="1"/>
    <col min="3" max="3" width="16" customWidth="1"/>
    <col min="4" max="4" width="14" customWidth="1"/>
    <col min="5" max="5" width="16" customWidth="1"/>
    <col min="6" max="6" width="18" customWidth="1"/>
    <col min="7" max="12" width="14" customWidth="1"/>
  </cols>
  <sheetData>
    <row r="1" ht="42" customHeight="1" spans="1:12">
      <c r="A1" s="39" t="s">
        <v>26</v>
      </c>
    </row>
    <row r="2" ht="15.75"/>
    <row r="3" ht="28" customHeight="1" spans="1:12">
      <c r="A3" s="40" t="s">
        <v>27</v>
      </c>
      <c r="B3" s="41"/>
      <c r="C3" s="41"/>
      <c r="D3" s="42" t="s">
        <v>28</v>
      </c>
      <c r="E3" s="43"/>
      <c r="F3" s="43"/>
      <c r="G3" s="44" t="s">
        <v>29</v>
      </c>
      <c r="H3" s="45"/>
      <c r="I3" s="45"/>
      <c r="J3" s="46" t="s">
        <v>30</v>
      </c>
      <c r="K3" s="47"/>
      <c r="L3" s="47"/>
    </row>
    <row r="4" ht="28" customHeight="1" spans="1:12">
      <c r="A4" s="48">
        <f>'Monthly Data'!B16</f>
        <v>2337100</v>
      </c>
      <c r="B4" s="41"/>
      <c r="C4" s="41"/>
      <c r="D4" s="49">
        <f>'Monthly Data'!C16</f>
        <v>4675</v>
      </c>
      <c r="E4" s="43"/>
      <c r="F4" s="43"/>
      <c r="G4" s="50">
        <f>'Monthly Data'!D16</f>
        <v>843</v>
      </c>
      <c r="H4" s="45"/>
      <c r="I4" s="45"/>
      <c r="J4" s="51">
        <f>'Monthly Data'!G17</f>
        <v>0.34614901934031</v>
      </c>
      <c r="K4" s="47"/>
      <c r="L4" s="47"/>
    </row>
    <row r="5" ht="28" customHeight="1" spans="1:12">
      <c r="A5" s="41"/>
      <c r="B5" s="41"/>
      <c r="C5" s="41"/>
      <c r="D5" s="43"/>
      <c r="E5" s="43"/>
      <c r="F5" s="43"/>
      <c r="G5" s="45"/>
      <c r="H5" s="45"/>
      <c r="I5" s="45"/>
      <c r="J5" s="47"/>
      <c r="K5" s="47"/>
      <c r="L5" s="47"/>
    </row>
    <row r="6" ht="28" customHeight="1" spans="1:12">
      <c r="A6" s="41"/>
      <c r="B6" s="41"/>
      <c r="C6" s="41"/>
      <c r="D6" s="43"/>
      <c r="E6" s="43"/>
      <c r="F6" s="43"/>
      <c r="G6" s="45"/>
      <c r="H6" s="45"/>
      <c r="I6" s="45"/>
      <c r="J6" s="47"/>
      <c r="K6" s="47"/>
      <c r="L6" s="47"/>
    </row>
    <row r="8" ht="28" customHeight="1" spans="1:12">
      <c r="A8" s="25" t="s">
        <v>31</v>
      </c>
      <c r="B8" s="25" t="s">
        <v>32</v>
      </c>
      <c r="C8" s="25" t="s">
        <v>33</v>
      </c>
      <c r="D8" s="25" t="s">
        <v>34</v>
      </c>
      <c r="E8" s="25" t="s">
        <v>35</v>
      </c>
      <c r="F8" s="25" t="s">
        <v>36</v>
      </c>
      <c r="G8" s="25" t="s">
        <v>37</v>
      </c>
    </row>
    <row r="9" ht="22" customHeight="1" spans="1:12">
      <c r="A9" s="52" t="s">
        <v>3</v>
      </c>
      <c r="B9" s="53" t="str">
        <f>INDEX('Monthly Data'!$A$4:$A$15,MATCH(MAX('Monthly Data'!$B$4:$B$15),'Monthly Data'!$B$4:$B$15,0))</f>
        <v>December</v>
      </c>
      <c r="C9" s="54">
        <f>MAX('Monthly Data'!B4:B15)</f>
        <v>278900</v>
      </c>
      <c r="D9" s="55" t="str">
        <f>INDEX('Monthly Data'!$A$4:$A$15,MATCH(MIN('Monthly Data'!$B$4:$B$15),'Monthly Data'!$B$4:$B$15,0))</f>
        <v>February</v>
      </c>
      <c r="E9" s="56">
        <f>MIN('Monthly Data'!B4:B15)</f>
        <v>128300</v>
      </c>
      <c r="F9" s="57">
        <f>'Monthly Data'!B16</f>
        <v>2337100</v>
      </c>
      <c r="G9" s="58">
        <f>'Monthly Data'!B17</f>
        <v>194758.333333333</v>
      </c>
    </row>
    <row r="10" ht="22" customHeight="1" spans="1:12">
      <c r="A10" s="59" t="s">
        <v>4</v>
      </c>
      <c r="B10" s="53" t="str">
        <f>INDEX('Monthly Data'!$A$4:$A$15,MATCH(MAX('Monthly Data'!$C$4:$C$15),'Monthly Data'!$C$4:$C$15,0))</f>
        <v>December</v>
      </c>
      <c r="C10" s="60">
        <f>MAX('Monthly Data'!C4:C15)</f>
        <v>558</v>
      </c>
      <c r="D10" s="55" t="str">
        <f>INDEX('Monthly Data'!$A$4:$A$15,MATCH(MIN('Monthly Data'!$C$4:$C$15),'Monthly Data'!$C$4:$C$15,0))</f>
        <v>February</v>
      </c>
      <c r="E10" s="61">
        <f>MIN('Monthly Data'!C4:C15)</f>
        <v>257</v>
      </c>
      <c r="F10" s="62">
        <f>'Monthly Data'!C16</f>
        <v>4675</v>
      </c>
      <c r="G10" s="63">
        <f>'Monthly Data'!C17</f>
        <v>389.583333333333</v>
      </c>
    </row>
    <row r="11" ht="22" customHeight="1" spans="1:12">
      <c r="A11" s="52" t="s">
        <v>5</v>
      </c>
      <c r="B11" s="53" t="str">
        <f>INDEX('Monthly Data'!$A$4:$A$15,MATCH(MAX('Monthly Data'!$D$4:$D$15),'Monthly Data'!$D$4:$D$15,0))</f>
        <v>December</v>
      </c>
      <c r="C11" s="60">
        <f>MAX('Monthly Data'!D4:D15)</f>
        <v>112</v>
      </c>
      <c r="D11" s="55" t="str">
        <f>INDEX('Monthly Data'!$A$4:$A$15,MATCH(MIN('Monthly Data'!$D$4:$D$15),'Monthly Data'!$D$4:$D$15,0))</f>
        <v>February</v>
      </c>
      <c r="E11" s="61">
        <f>MIN('Monthly Data'!D4:D15)</f>
        <v>38</v>
      </c>
      <c r="F11" s="64">
        <f>'Monthly Data'!D16</f>
        <v>843</v>
      </c>
      <c r="G11" s="65">
        <f>'Monthly Data'!D17</f>
        <v>70.25</v>
      </c>
    </row>
    <row r="12" ht="22" customHeight="1" spans="1:12">
      <c r="A12" s="59" t="s">
        <v>7</v>
      </c>
      <c r="B12" s="53" t="str">
        <f>INDEX('Monthly Data'!$A$4:$A$15,MATCH(MAX('Monthly Data'!$F$4:$F$15),'Monthly Data'!$F$4:$F$15,0))</f>
        <v>December</v>
      </c>
      <c r="C12" s="54">
        <f>MAX('Monthly Data'!F4:F15)</f>
        <v>111600</v>
      </c>
      <c r="D12" s="55" t="str">
        <f>INDEX('Monthly Data'!$A$4:$A$15,MATCH(MIN('Monthly Data'!$F$4:$F$15),'Monthly Data'!$F$4:$F$15,0))</f>
        <v>February</v>
      </c>
      <c r="E12" s="56">
        <f>MIN('Monthly Data'!F4:F15)</f>
        <v>37100</v>
      </c>
      <c r="F12" s="66">
        <f>'Monthly Data'!F16</f>
        <v>824300</v>
      </c>
      <c r="G12" s="67">
        <f>'Monthly Data'!F17</f>
        <v>68691.6666666667</v>
      </c>
    </row>
    <row r="13" ht="22" customHeight="1" spans="1:12">
      <c r="A13" s="52" t="s">
        <v>8</v>
      </c>
      <c r="B13" s="53" t="str">
        <f>INDEX('Monthly Data'!$A$4:$A$15,MATCH(MAX('Monthly Data'!$G$4:$G$15),'Monthly Data'!$G$4:$G$15,0))</f>
        <v>December</v>
      </c>
      <c r="C13" s="68">
        <f>MAX('Monthly Data'!G4:G15)</f>
        <v>0.400143420580853</v>
      </c>
      <c r="D13" s="55" t="str">
        <f>INDEX('Monthly Data'!$A$4:$A$15,MATCH(MIN('Monthly Data'!$G$4:$G$15),'Monthly Data'!$G$4:$G$15,0))</f>
        <v>February</v>
      </c>
      <c r="E13" s="69">
        <f>MIN('Monthly Data'!G4:G15)</f>
        <v>0.289166017147311</v>
      </c>
      <c r="F13" s="70">
        <f>'Monthly Data'!G16</f>
        <v>0.352702066663814</v>
      </c>
      <c r="G13" s="71">
        <f>'Monthly Data'!G17</f>
        <v>0.34614901934031</v>
      </c>
    </row>
  </sheetData>
  <mergeCells count="9">
    <mergeCell ref="A1:L1"/>
    <mergeCell ref="A3:C3"/>
    <mergeCell ref="D3:F3"/>
    <mergeCell ref="G3:I3"/>
    <mergeCell ref="J3:L3"/>
    <mergeCell ref="A4:C6"/>
    <mergeCell ref="D4:F6"/>
    <mergeCell ref="G4:I6"/>
    <mergeCell ref="J4:L6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pane ySplit="2" topLeftCell="A23" activePane="bottomLeft" state="frozen"/>
      <selection/>
      <selection pane="bottomLeft" activeCell="A1" sqref="A1:H1"/>
    </sheetView>
  </sheetViews>
  <sheetFormatPr defaultColWidth="9" defaultRowHeight="15" outlineLevelRow="6" outlineLevelCol="7"/>
  <cols>
    <col min="1" max="1" width="12" customWidth="1"/>
    <col min="2" max="2" width="18" customWidth="1"/>
    <col min="3" max="3" width="13" customWidth="1"/>
    <col min="4" max="5" width="16" customWidth="1"/>
    <col min="6" max="6" width="18" customWidth="1"/>
    <col min="7" max="8" width="16" customWidth="1"/>
  </cols>
  <sheetData>
    <row r="1" ht="36" customHeight="1" spans="1:8">
      <c r="A1" s="1" t="s">
        <v>38</v>
      </c>
    </row>
    <row r="2" ht="28" customHeight="1" spans="1:8">
      <c r="A2" s="25" t="s">
        <v>39</v>
      </c>
      <c r="B2" s="25" t="s">
        <v>40</v>
      </c>
      <c r="C2" s="25" t="s">
        <v>4</v>
      </c>
      <c r="D2" s="25" t="s">
        <v>5</v>
      </c>
      <c r="E2" s="25" t="s">
        <v>6</v>
      </c>
      <c r="F2" s="25" t="s">
        <v>7</v>
      </c>
      <c r="G2" s="25" t="s">
        <v>41</v>
      </c>
      <c r="H2" s="25" t="s">
        <v>42</v>
      </c>
    </row>
    <row r="3" ht="26" customHeight="1" spans="1:8">
      <c r="A3" s="26" t="s">
        <v>43</v>
      </c>
      <c r="B3" s="6">
        <f ca="1">SUMPRODUCT(('Monthly Data'!B4:'Monthly Data'!B6))</f>
        <v>426600</v>
      </c>
      <c r="C3" s="27">
        <f ca="1">SUMPRODUCT(('Monthly Data'!C4:'Monthly Data'!C6))</f>
        <v>854</v>
      </c>
      <c r="D3" s="27">
        <f ca="1">SUMPRODUCT(('Monthly Data'!D4:'Monthly Data'!D6))</f>
        <v>131</v>
      </c>
      <c r="E3" s="28">
        <f ca="1">SUMPRODUCT(('Monthly Data'!E4:'Monthly Data'!E6))</f>
        <v>294200</v>
      </c>
      <c r="F3" s="6">
        <f ca="1">B3-E3</f>
        <v>132400</v>
      </c>
      <c r="G3" s="29">
        <f ca="1">F3/B3</f>
        <v>0.310360993905298</v>
      </c>
      <c r="H3" s="30" t="s">
        <v>12</v>
      </c>
    </row>
    <row r="4" ht="26" customHeight="1" spans="1:8">
      <c r="A4" s="31" t="s">
        <v>44</v>
      </c>
      <c r="B4" s="4">
        <f ca="1">SUMPRODUCT(('Monthly Data'!B7:'Monthly Data'!B9))</f>
        <v>538200</v>
      </c>
      <c r="C4" s="32">
        <f ca="1">SUMPRODUCT(('Monthly Data'!C7:'Monthly Data'!C9))</f>
        <v>1076</v>
      </c>
      <c r="D4" s="32">
        <f ca="1">SUMPRODUCT(('Monthly Data'!D7:'Monthly Data'!D9))</f>
        <v>190</v>
      </c>
      <c r="E4" s="33">
        <f ca="1">SUMPRODUCT(('Monthly Data'!E7:'Monthly Data'!E9))</f>
        <v>355600</v>
      </c>
      <c r="F4" s="4">
        <f ca="1">B4-E4</f>
        <v>182600</v>
      </c>
      <c r="G4" s="34">
        <f ca="1">F4/B4</f>
        <v>0.339279078409513</v>
      </c>
      <c r="H4" s="34">
        <f ca="1">(B4-B3)/B3</f>
        <v>0.261603375527426</v>
      </c>
    </row>
    <row r="5" ht="26" customHeight="1" spans="1:8">
      <c r="A5" s="26" t="s">
        <v>45</v>
      </c>
      <c r="B5" s="6">
        <f ca="1">SUMPRODUCT(('Monthly Data'!B10:'Monthly Data'!B12))</f>
        <v>607600</v>
      </c>
      <c r="C5" s="27">
        <f ca="1">SUMPRODUCT(('Monthly Data'!C10:'Monthly Data'!C12))</f>
        <v>1216</v>
      </c>
      <c r="D5" s="27">
        <f ca="1">SUMPRODUCT(('Monthly Data'!D10:'Monthly Data'!D12))</f>
        <v>224</v>
      </c>
      <c r="E5" s="28">
        <f ca="1">SUMPRODUCT(('Monthly Data'!E10:'Monthly Data'!E12))</f>
        <v>394200</v>
      </c>
      <c r="F5" s="6">
        <f ca="1">B5-E5</f>
        <v>213400</v>
      </c>
      <c r="G5" s="29">
        <f ca="1">F5/B5</f>
        <v>0.351217906517446</v>
      </c>
      <c r="H5" s="29">
        <f ca="1">(B5-B4)/B4</f>
        <v>0.128948346339651</v>
      </c>
    </row>
    <row r="6" ht="26" customHeight="1" spans="1:8">
      <c r="A6" s="31" t="s">
        <v>46</v>
      </c>
      <c r="B6" s="4">
        <f ca="1">SUMPRODUCT(('Monthly Data'!B13:'Monthly Data'!B15))</f>
        <v>764700</v>
      </c>
      <c r="C6" s="32">
        <f ca="1">SUMPRODUCT(('Monthly Data'!C13:'Monthly Data'!C15))</f>
        <v>1529</v>
      </c>
      <c r="D6" s="32">
        <f ca="1">SUMPRODUCT(('Monthly Data'!D13:'Monthly Data'!D15))</f>
        <v>298</v>
      </c>
      <c r="E6" s="33">
        <f ca="1">SUMPRODUCT(('Monthly Data'!E13:'Monthly Data'!E15))</f>
        <v>468800</v>
      </c>
      <c r="F6" s="4">
        <f ca="1">B6-E6</f>
        <v>295900</v>
      </c>
      <c r="G6" s="34">
        <f ca="1">F6/B6</f>
        <v>0.386949130377926</v>
      </c>
      <c r="H6" s="34">
        <f ca="1">(B6-B5)/B5</f>
        <v>0.258558262014483</v>
      </c>
    </row>
    <row r="7" ht="30" customHeight="1" spans="1:8">
      <c r="A7" s="35" t="s">
        <v>24</v>
      </c>
      <c r="B7" s="36">
        <f>'Monthly Data'!B16</f>
        <v>2337100</v>
      </c>
      <c r="C7" s="37">
        <f>'Monthly Data'!C16</f>
        <v>4675</v>
      </c>
      <c r="D7" s="37">
        <f>'Monthly Data'!D16</f>
        <v>843</v>
      </c>
      <c r="E7" s="36">
        <f>'Monthly Data'!E16</f>
        <v>1512800</v>
      </c>
      <c r="F7" s="36">
        <f>'Monthly Data'!F16</f>
        <v>824300</v>
      </c>
      <c r="G7" s="38">
        <f>'Monthly Data'!G16</f>
        <v>0.352702066663814</v>
      </c>
      <c r="H7" s="38">
        <f ca="1">(B3+B4+B5+B6-4*B3)/(3*B3)</f>
        <v>0.492811376777621</v>
      </c>
    </row>
  </sheetData>
  <mergeCells count="1">
    <mergeCell ref="A1:H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workbookViewId="0">
      <pane ySplit="2" topLeftCell="A24" activePane="bottomLeft" state="frozen"/>
      <selection/>
      <selection pane="bottomLeft" activeCell="A1" sqref="A1:J1"/>
    </sheetView>
  </sheetViews>
  <sheetFormatPr defaultColWidth="9" defaultRowHeight="15"/>
  <cols>
    <col min="1" max="12" width="11" customWidth="1"/>
  </cols>
  <sheetData>
    <row r="1" ht="36" customHeight="1" spans="1:2">
      <c r="A1" s="1" t="s">
        <v>47</v>
      </c>
    </row>
    <row r="3" ht="24" customHeight="1" spans="1:2">
      <c r="A3" s="2" t="s">
        <v>48</v>
      </c>
    </row>
    <row r="4" ht="22" customHeight="1" spans="1:2">
      <c r="A4" s="3" t="s">
        <v>49</v>
      </c>
      <c r="B4" s="4">
        <f>'Monthly Data'!B16</f>
        <v>2337100</v>
      </c>
    </row>
    <row r="5" ht="22" customHeight="1" spans="1:2">
      <c r="A5" s="5" t="s">
        <v>50</v>
      </c>
      <c r="B5" s="6">
        <f>'Monthly Data'!B17</f>
        <v>194758.333333333</v>
      </c>
    </row>
    <row r="6" ht="22" customHeight="1" spans="1:2">
      <c r="A6" s="3" t="s">
        <v>51</v>
      </c>
      <c r="B6" s="4">
        <f>MAX('Monthly Data'!B4:B15)</f>
        <v>278900</v>
      </c>
    </row>
    <row r="7" ht="22" customHeight="1" spans="1:2">
      <c r="A7" s="5" t="s">
        <v>52</v>
      </c>
      <c r="B7" s="6">
        <f>MIN('Monthly Data'!B4:B15)</f>
        <v>128300</v>
      </c>
    </row>
    <row r="8" ht="22" customHeight="1" spans="1:2">
      <c r="A8" s="3" t="s">
        <v>53</v>
      </c>
      <c r="B8" s="4">
        <f>MAX('Monthly Data'!B4:B15)-MIN('Monthly Data'!B4:B15)</f>
        <v>150600</v>
      </c>
    </row>
    <row r="9" ht="22" customHeight="1" spans="1:2">
      <c r="A9" s="5" t="s">
        <v>54</v>
      </c>
      <c r="B9" s="7">
        <f>(MAX('Monthly Data'!B4:B15)-MIN('Monthly Data'!B4:B15))/MIN('Monthly Data'!B4:B15)</f>
        <v>1.17381137957911</v>
      </c>
    </row>
    <row r="10" ht="22" customHeight="1" spans="1:2">
      <c r="A10" s="3" t="s">
        <v>55</v>
      </c>
      <c r="B10" s="8">
        <f>MAX('Monthly Data'!H5:H15)</f>
        <v>0.214341387373344</v>
      </c>
    </row>
    <row r="11" ht="8" customHeight="1"/>
    <row r="12" ht="24" customHeight="1" spans="1:2">
      <c r="A12" s="2" t="s">
        <v>56</v>
      </c>
    </row>
    <row r="13" ht="22" customHeight="1" spans="1:2">
      <c r="A13" s="5" t="s">
        <v>57</v>
      </c>
      <c r="B13" s="6">
        <f>'Monthly Data'!F16</f>
        <v>824300</v>
      </c>
    </row>
    <row r="14" ht="22" customHeight="1" spans="1:2">
      <c r="A14" s="3" t="s">
        <v>58</v>
      </c>
      <c r="B14" s="4">
        <f>'Monthly Data'!F17</f>
        <v>68691.6666666667</v>
      </c>
    </row>
    <row r="15" ht="22" customHeight="1" spans="1:2">
      <c r="A15" s="5" t="s">
        <v>59</v>
      </c>
      <c r="B15" s="7">
        <f>MAX('Monthly Data'!G4:G15)</f>
        <v>0.400143420580853</v>
      </c>
    </row>
    <row r="16" ht="22" customHeight="1" spans="1:2">
      <c r="A16" s="3" t="s">
        <v>60</v>
      </c>
      <c r="B16" s="8">
        <f>MIN('Monthly Data'!G4:G15)</f>
        <v>0.289166017147311</v>
      </c>
    </row>
    <row r="17" ht="22" customHeight="1" spans="1:12">
      <c r="A17" s="5" t="s">
        <v>61</v>
      </c>
      <c r="B17" s="7">
        <f>'Monthly Data'!G17</f>
        <v>0.34614901934031</v>
      </c>
    </row>
    <row r="18" ht="8" customHeight="1"/>
    <row r="19" ht="24" customHeight="1" spans="1:12">
      <c r="A19" s="2" t="s">
        <v>62</v>
      </c>
    </row>
    <row r="20" ht="22" customHeight="1" spans="1:12">
      <c r="A20" s="3" t="s">
        <v>63</v>
      </c>
      <c r="B20" s="9">
        <f>'Monthly Data'!D16</f>
        <v>843</v>
      </c>
    </row>
    <row r="21" ht="22" customHeight="1" spans="1:12">
      <c r="A21" s="5" t="s">
        <v>64</v>
      </c>
      <c r="B21" s="10">
        <f>'Monthly Data'!D17</f>
        <v>70.25</v>
      </c>
    </row>
    <row r="22" ht="22" customHeight="1" spans="1:12">
      <c r="A22" s="3" t="s">
        <v>65</v>
      </c>
      <c r="B22" s="9">
        <f>'Monthly Data'!C16</f>
        <v>4675</v>
      </c>
    </row>
    <row r="23" ht="22" customHeight="1" spans="1:12">
      <c r="A23" s="5" t="s">
        <v>66</v>
      </c>
      <c r="B23" s="10">
        <f>'Monthly Data'!C17</f>
        <v>389.583333333333</v>
      </c>
    </row>
    <row r="26" ht="26" customHeight="1" spans="1:12">
      <c r="A26" s="11" t="s">
        <v>67</v>
      </c>
    </row>
    <row r="27" ht="22" customHeight="1" spans="1:12">
      <c r="A27" s="12" t="s">
        <v>11</v>
      </c>
      <c r="B27" s="12" t="s">
        <v>13</v>
      </c>
      <c r="C27" s="12" t="s">
        <v>14</v>
      </c>
      <c r="D27" s="12" t="s">
        <v>15</v>
      </c>
      <c r="E27" s="12" t="s">
        <v>16</v>
      </c>
      <c r="F27" s="12" t="s">
        <v>17</v>
      </c>
      <c r="G27" s="12" t="s">
        <v>18</v>
      </c>
      <c r="H27" s="12" t="s">
        <v>19</v>
      </c>
      <c r="I27" s="12" t="s">
        <v>20</v>
      </c>
      <c r="J27" s="12" t="s">
        <v>21</v>
      </c>
      <c r="K27" s="12" t="s">
        <v>22</v>
      </c>
      <c r="L27" s="12" t="s">
        <v>23</v>
      </c>
    </row>
    <row r="28" ht="28" customHeight="1" spans="1:12">
      <c r="A28" s="13">
        <v>142500</v>
      </c>
      <c r="B28" s="14">
        <v>128300</v>
      </c>
      <c r="C28" s="15">
        <v>155800</v>
      </c>
      <c r="D28" s="16">
        <v>163200</v>
      </c>
      <c r="E28" s="17">
        <v>179400</v>
      </c>
      <c r="F28" s="18">
        <v>195600</v>
      </c>
      <c r="G28" s="19">
        <v>188300</v>
      </c>
      <c r="H28" s="20">
        <v>201500</v>
      </c>
      <c r="I28" s="21">
        <v>217800</v>
      </c>
      <c r="J28" s="22">
        <v>234600</v>
      </c>
      <c r="K28" s="23">
        <v>251200</v>
      </c>
      <c r="L28" s="24">
        <v>278900</v>
      </c>
    </row>
  </sheetData>
  <mergeCells count="5">
    <mergeCell ref="A1:J1"/>
    <mergeCell ref="A3:B3"/>
    <mergeCell ref="A12:B12"/>
    <mergeCell ref="A19:B19"/>
    <mergeCell ref="A26:L2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Monthly Data</vt:lpstr>
      <vt:lpstr>KPI Dashboard</vt:lpstr>
      <vt:lpstr>Quarterly Rollup</vt:lpstr>
      <vt:lpstr>Trend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</cp:lastModifiedBy>
  <dcterms:created xsi:type="dcterms:W3CDTF">2026-03-17T00:59:00Z</dcterms:created>
  <dcterms:modified xsi:type="dcterms:W3CDTF">2026-03-17T01:02:41Z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38A1830C52C64D5F8136B6CF059185CF_13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